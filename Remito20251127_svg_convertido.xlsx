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f182722023e49b21/TRABAJOS/TAO Accesorios/web reina/"/>
    </mc:Choice>
  </mc:AlternateContent>
  <xr:revisionPtr revIDLastSave="80" documentId="11_569C6E661065463FE546089658172EFB0DFE1B28" xr6:coauthVersionLast="47" xr6:coauthVersionMax="47" xr10:uidLastSave="{06FEE23F-F1B7-4AA8-90A1-E488EF75BECA}"/>
  <bookViews>
    <workbookView xWindow="-108" yWindow="-108" windowWidth="23256" windowHeight="12456" xr2:uid="{00000000-000D-0000-FFFF-FFFF00000000}"/>
  </bookViews>
  <sheets>
    <sheet name="duplicado" sheetId="1" r:id="rId1"/>
  </sheets>
  <definedNames>
    <definedName name="_xlnm._FilterDatabase" localSheetId="0" hidden="1">duplicado!$A$1:$AC$551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51" i="1" l="1"/>
  <c r="Z551" i="1" s="1"/>
  <c r="T551" i="1"/>
  <c r="V551" i="1" s="1"/>
  <c r="R551" i="1"/>
  <c r="Q551" i="1"/>
  <c r="H551" i="1"/>
  <c r="F551" i="1"/>
  <c r="X539" i="1"/>
  <c r="Z539" i="1" s="1"/>
  <c r="T539" i="1"/>
  <c r="U539" i="1" s="1"/>
  <c r="R539" i="1"/>
  <c r="Q539" i="1"/>
  <c r="H539" i="1"/>
  <c r="F539" i="1"/>
  <c r="X537" i="1"/>
  <c r="Z537" i="1" s="1"/>
  <c r="T537" i="1"/>
  <c r="U537" i="1" s="1"/>
  <c r="R537" i="1"/>
  <c r="Q537" i="1"/>
  <c r="H537" i="1"/>
  <c r="F537" i="1"/>
  <c r="X550" i="1"/>
  <c r="T550" i="1"/>
  <c r="U550" i="1" s="1"/>
  <c r="R550" i="1"/>
  <c r="Q550" i="1"/>
  <c r="H550" i="1"/>
  <c r="F550" i="1"/>
  <c r="X549" i="1"/>
  <c r="Z549" i="1" s="1"/>
  <c r="T549" i="1"/>
  <c r="U549" i="1" s="1"/>
  <c r="R549" i="1"/>
  <c r="Q549" i="1"/>
  <c r="H549" i="1"/>
  <c r="F549" i="1"/>
  <c r="X548" i="1"/>
  <c r="Y548" i="1" s="1"/>
  <c r="T548" i="1"/>
  <c r="U548" i="1" s="1"/>
  <c r="R548" i="1"/>
  <c r="Q548" i="1"/>
  <c r="H548" i="1"/>
  <c r="F548" i="1"/>
  <c r="X547" i="1"/>
  <c r="Z547" i="1" s="1"/>
  <c r="T547" i="1"/>
  <c r="U547" i="1" s="1"/>
  <c r="R547" i="1"/>
  <c r="Q547" i="1"/>
  <c r="H547" i="1"/>
  <c r="F547" i="1"/>
  <c r="X546" i="1"/>
  <c r="Z546" i="1" s="1"/>
  <c r="T546" i="1"/>
  <c r="R546" i="1"/>
  <c r="Q546" i="1"/>
  <c r="H546" i="1"/>
  <c r="F546" i="1"/>
  <c r="X545" i="1"/>
  <c r="Y545" i="1" s="1"/>
  <c r="T545" i="1"/>
  <c r="V545" i="1" s="1"/>
  <c r="R545" i="1"/>
  <c r="Q545" i="1"/>
  <c r="H545" i="1"/>
  <c r="F545" i="1"/>
  <c r="X544" i="1"/>
  <c r="Z544" i="1" s="1"/>
  <c r="T544" i="1"/>
  <c r="U544" i="1" s="1"/>
  <c r="R544" i="1"/>
  <c r="Q544" i="1"/>
  <c r="H544" i="1"/>
  <c r="F544" i="1"/>
  <c r="X543" i="1"/>
  <c r="Z543" i="1" s="1"/>
  <c r="T543" i="1"/>
  <c r="U543" i="1" s="1"/>
  <c r="R543" i="1"/>
  <c r="Q543" i="1"/>
  <c r="H543" i="1"/>
  <c r="F543" i="1"/>
  <c r="X542" i="1"/>
  <c r="T542" i="1"/>
  <c r="U542" i="1" s="1"/>
  <c r="R542" i="1"/>
  <c r="Q542" i="1"/>
  <c r="H542" i="1"/>
  <c r="F542" i="1"/>
  <c r="X541" i="1"/>
  <c r="Z541" i="1" s="1"/>
  <c r="T541" i="1"/>
  <c r="R541" i="1"/>
  <c r="Q541" i="1"/>
  <c r="H541" i="1"/>
  <c r="F541" i="1"/>
  <c r="X540" i="1"/>
  <c r="Y540" i="1" s="1"/>
  <c r="T540" i="1"/>
  <c r="U540" i="1" s="1"/>
  <c r="R540" i="1"/>
  <c r="Q540" i="1"/>
  <c r="H540" i="1"/>
  <c r="F540" i="1"/>
  <c r="X538" i="1"/>
  <c r="Z538" i="1" s="1"/>
  <c r="T538" i="1"/>
  <c r="R538" i="1"/>
  <c r="Q538" i="1"/>
  <c r="H538" i="1"/>
  <c r="F538" i="1"/>
  <c r="X536" i="1"/>
  <c r="Z536" i="1" s="1"/>
  <c r="T536" i="1"/>
  <c r="V536" i="1" s="1"/>
  <c r="R536" i="1"/>
  <c r="Q536" i="1"/>
  <c r="H536" i="1"/>
  <c r="F536" i="1"/>
  <c r="X535" i="1"/>
  <c r="Y535" i="1" s="1"/>
  <c r="T535" i="1"/>
  <c r="V535" i="1" s="1"/>
  <c r="R535" i="1"/>
  <c r="Q535" i="1"/>
  <c r="H535" i="1"/>
  <c r="F535" i="1"/>
  <c r="X534" i="1"/>
  <c r="Y534" i="1" s="1"/>
  <c r="T534" i="1"/>
  <c r="R534" i="1"/>
  <c r="Q534" i="1"/>
  <c r="H534" i="1"/>
  <c r="F534" i="1"/>
  <c r="X533" i="1"/>
  <c r="Y533" i="1" s="1"/>
  <c r="T533" i="1"/>
  <c r="V533" i="1" s="1"/>
  <c r="R533" i="1"/>
  <c r="Q533" i="1"/>
  <c r="H533" i="1"/>
  <c r="F533" i="1"/>
  <c r="X532" i="1"/>
  <c r="Y532" i="1" s="1"/>
  <c r="T532" i="1"/>
  <c r="R532" i="1"/>
  <c r="Q532" i="1"/>
  <c r="H532" i="1"/>
  <c r="F532" i="1"/>
  <c r="X531" i="1"/>
  <c r="Z531" i="1" s="1"/>
  <c r="T531" i="1"/>
  <c r="V531" i="1" s="1"/>
  <c r="R531" i="1"/>
  <c r="Q531" i="1"/>
  <c r="H531" i="1"/>
  <c r="F531" i="1"/>
  <c r="X530" i="1"/>
  <c r="T530" i="1"/>
  <c r="V530" i="1" s="1"/>
  <c r="R530" i="1"/>
  <c r="Q530" i="1"/>
  <c r="H530" i="1"/>
  <c r="F530" i="1"/>
  <c r="X529" i="1"/>
  <c r="Z529" i="1" s="1"/>
  <c r="T529" i="1"/>
  <c r="V529" i="1" s="1"/>
  <c r="R529" i="1"/>
  <c r="Q529" i="1"/>
  <c r="H529" i="1"/>
  <c r="F529" i="1"/>
  <c r="X528" i="1"/>
  <c r="T528" i="1"/>
  <c r="U528" i="1" s="1"/>
  <c r="R528" i="1"/>
  <c r="Q528" i="1"/>
  <c r="H528" i="1"/>
  <c r="F528" i="1"/>
  <c r="X527" i="1"/>
  <c r="Y527" i="1" s="1"/>
  <c r="T527" i="1"/>
  <c r="R527" i="1"/>
  <c r="Q527" i="1"/>
  <c r="H527" i="1"/>
  <c r="F527" i="1"/>
  <c r="X526" i="1"/>
  <c r="Z526" i="1" s="1"/>
  <c r="T526" i="1"/>
  <c r="U526" i="1" s="1"/>
  <c r="R526" i="1"/>
  <c r="Q526" i="1"/>
  <c r="H526" i="1"/>
  <c r="F526" i="1"/>
  <c r="X525" i="1"/>
  <c r="Z525" i="1" s="1"/>
  <c r="T525" i="1"/>
  <c r="V525" i="1" s="1"/>
  <c r="R525" i="1"/>
  <c r="Q525" i="1"/>
  <c r="H525" i="1"/>
  <c r="F525" i="1"/>
  <c r="X524" i="1"/>
  <c r="Z524" i="1" s="1"/>
  <c r="T524" i="1"/>
  <c r="V524" i="1" s="1"/>
  <c r="R524" i="1"/>
  <c r="Q524" i="1"/>
  <c r="H524" i="1"/>
  <c r="F524" i="1"/>
  <c r="X523" i="1"/>
  <c r="Y523" i="1" s="1"/>
  <c r="T523" i="1"/>
  <c r="V523" i="1" s="1"/>
  <c r="R523" i="1"/>
  <c r="Q523" i="1"/>
  <c r="H523" i="1"/>
  <c r="F523" i="1"/>
  <c r="Z520" i="1"/>
  <c r="Y520" i="1"/>
  <c r="V520" i="1"/>
  <c r="U520" i="1"/>
  <c r="R520" i="1"/>
  <c r="Q520" i="1"/>
  <c r="H520" i="1"/>
  <c r="F520" i="1"/>
  <c r="X522" i="1"/>
  <c r="Y522" i="1" s="1"/>
  <c r="T522" i="1"/>
  <c r="U522" i="1" s="1"/>
  <c r="R522" i="1"/>
  <c r="Q522" i="1"/>
  <c r="H522" i="1"/>
  <c r="F522" i="1"/>
  <c r="X521" i="1"/>
  <c r="T521" i="1"/>
  <c r="V521" i="1" s="1"/>
  <c r="R521" i="1"/>
  <c r="Q521" i="1"/>
  <c r="H521" i="1"/>
  <c r="F521" i="1"/>
  <c r="X517" i="1"/>
  <c r="Z517" i="1" s="1"/>
  <c r="T517" i="1"/>
  <c r="R517" i="1"/>
  <c r="Q517" i="1"/>
  <c r="H517" i="1"/>
  <c r="F517" i="1"/>
  <c r="Z514" i="1"/>
  <c r="Y514" i="1"/>
  <c r="V514" i="1"/>
  <c r="U514" i="1"/>
  <c r="R514" i="1"/>
  <c r="Q514" i="1"/>
  <c r="H514" i="1"/>
  <c r="F514" i="1"/>
  <c r="X518" i="1"/>
  <c r="Z518" i="1" s="1"/>
  <c r="T518" i="1"/>
  <c r="U518" i="1" s="1"/>
  <c r="R518" i="1"/>
  <c r="Q518" i="1"/>
  <c r="H518" i="1"/>
  <c r="F518" i="1"/>
  <c r="X516" i="1"/>
  <c r="Z516" i="1" s="1"/>
  <c r="T516" i="1"/>
  <c r="V516" i="1" s="1"/>
  <c r="R516" i="1"/>
  <c r="Q516" i="1"/>
  <c r="H516" i="1"/>
  <c r="F516" i="1"/>
  <c r="X515" i="1"/>
  <c r="Z515" i="1" s="1"/>
  <c r="T515" i="1"/>
  <c r="U515" i="1" s="1"/>
  <c r="R515" i="1"/>
  <c r="Q515" i="1"/>
  <c r="H515" i="1"/>
  <c r="F515" i="1"/>
  <c r="X513" i="1"/>
  <c r="T513" i="1"/>
  <c r="U513" i="1" s="1"/>
  <c r="R513" i="1"/>
  <c r="Q513" i="1"/>
  <c r="H513" i="1"/>
  <c r="F513" i="1"/>
  <c r="X511" i="1"/>
  <c r="Y511" i="1" s="1"/>
  <c r="T511" i="1"/>
  <c r="V511" i="1" s="1"/>
  <c r="R511" i="1"/>
  <c r="Q511" i="1"/>
  <c r="H511" i="1"/>
  <c r="F511" i="1"/>
  <c r="X512" i="1"/>
  <c r="Z512" i="1" s="1"/>
  <c r="T512" i="1"/>
  <c r="U512" i="1" s="1"/>
  <c r="R512" i="1"/>
  <c r="Q512" i="1"/>
  <c r="H512" i="1"/>
  <c r="F512" i="1"/>
  <c r="Z509" i="1"/>
  <c r="Y509" i="1"/>
  <c r="V509" i="1"/>
  <c r="U509" i="1"/>
  <c r="R509" i="1"/>
  <c r="Q509" i="1"/>
  <c r="H509" i="1"/>
  <c r="F509" i="1"/>
  <c r="Z507" i="1"/>
  <c r="Y507" i="1"/>
  <c r="V507" i="1"/>
  <c r="U507" i="1"/>
  <c r="R507" i="1"/>
  <c r="Q507" i="1"/>
  <c r="H507" i="1"/>
  <c r="F507" i="1"/>
  <c r="Z510" i="1"/>
  <c r="Y510" i="1"/>
  <c r="V510" i="1"/>
  <c r="U510" i="1"/>
  <c r="R510" i="1"/>
  <c r="Q510" i="1"/>
  <c r="H510" i="1"/>
  <c r="F510" i="1"/>
  <c r="X508" i="1"/>
  <c r="Z508" i="1" s="1"/>
  <c r="T508" i="1"/>
  <c r="V508" i="1" s="1"/>
  <c r="R508" i="1"/>
  <c r="Q508" i="1"/>
  <c r="H508" i="1"/>
  <c r="F508" i="1"/>
  <c r="Z506" i="1"/>
  <c r="Y506" i="1"/>
  <c r="V506" i="1"/>
  <c r="U506" i="1"/>
  <c r="R506" i="1"/>
  <c r="Q506" i="1"/>
  <c r="H506" i="1"/>
  <c r="F506" i="1"/>
  <c r="Z505" i="1"/>
  <c r="Y505" i="1"/>
  <c r="V505" i="1"/>
  <c r="U505" i="1"/>
  <c r="R505" i="1"/>
  <c r="Q505" i="1"/>
  <c r="H505" i="1"/>
  <c r="F505" i="1"/>
  <c r="Z504" i="1"/>
  <c r="Y504" i="1"/>
  <c r="V504" i="1"/>
  <c r="U504" i="1"/>
  <c r="R504" i="1"/>
  <c r="Q504" i="1"/>
  <c r="H504" i="1"/>
  <c r="F504" i="1"/>
  <c r="Z502" i="1"/>
  <c r="Y502" i="1"/>
  <c r="V502" i="1"/>
  <c r="U502" i="1"/>
  <c r="R502" i="1"/>
  <c r="Q502" i="1"/>
  <c r="H502" i="1"/>
  <c r="F502" i="1"/>
  <c r="X503" i="1"/>
  <c r="Z503" i="1" s="1"/>
  <c r="T503" i="1"/>
  <c r="V503" i="1" s="1"/>
  <c r="R503" i="1"/>
  <c r="Q503" i="1"/>
  <c r="H503" i="1"/>
  <c r="F503" i="1"/>
  <c r="X499" i="1"/>
  <c r="Y499" i="1" s="1"/>
  <c r="T499" i="1"/>
  <c r="V499" i="1" s="1"/>
  <c r="R499" i="1"/>
  <c r="Q499" i="1"/>
  <c r="H499" i="1"/>
  <c r="F499" i="1"/>
  <c r="X501" i="1"/>
  <c r="Y501" i="1" s="1"/>
  <c r="T501" i="1"/>
  <c r="U501" i="1" s="1"/>
  <c r="R501" i="1"/>
  <c r="Q501" i="1"/>
  <c r="H501" i="1"/>
  <c r="F501" i="1"/>
  <c r="X500" i="1"/>
  <c r="Z500" i="1" s="1"/>
  <c r="T500" i="1"/>
  <c r="U500" i="1" s="1"/>
  <c r="R500" i="1"/>
  <c r="Q500" i="1"/>
  <c r="H500" i="1"/>
  <c r="F500" i="1"/>
  <c r="Z496" i="1"/>
  <c r="Y496" i="1"/>
  <c r="V496" i="1"/>
  <c r="U496" i="1"/>
  <c r="R496" i="1"/>
  <c r="Q496" i="1"/>
  <c r="H496" i="1"/>
  <c r="F496" i="1"/>
  <c r="Z495" i="1"/>
  <c r="Y495" i="1"/>
  <c r="V495" i="1"/>
  <c r="U495" i="1"/>
  <c r="R495" i="1"/>
  <c r="Q495" i="1"/>
  <c r="H495" i="1"/>
  <c r="F495" i="1"/>
  <c r="Z494" i="1"/>
  <c r="Y494" i="1"/>
  <c r="V494" i="1"/>
  <c r="U494" i="1"/>
  <c r="R494" i="1"/>
  <c r="Q494" i="1"/>
  <c r="H494" i="1"/>
  <c r="F494" i="1"/>
  <c r="X498" i="1"/>
  <c r="Z498" i="1" s="1"/>
  <c r="T498" i="1"/>
  <c r="R498" i="1"/>
  <c r="Q498" i="1"/>
  <c r="H498" i="1"/>
  <c r="F498" i="1"/>
  <c r="X497" i="1"/>
  <c r="Z497" i="1" s="1"/>
  <c r="T497" i="1"/>
  <c r="V497" i="1" s="1"/>
  <c r="R497" i="1"/>
  <c r="Q497" i="1"/>
  <c r="H497" i="1"/>
  <c r="F497" i="1"/>
  <c r="Z493" i="1"/>
  <c r="Y493" i="1"/>
  <c r="V493" i="1"/>
  <c r="U493" i="1"/>
  <c r="R493" i="1"/>
  <c r="Q493" i="1"/>
  <c r="H493" i="1"/>
  <c r="F493" i="1"/>
  <c r="Z491" i="1"/>
  <c r="Y491" i="1"/>
  <c r="V491" i="1"/>
  <c r="U491" i="1"/>
  <c r="R491" i="1"/>
  <c r="Q491" i="1"/>
  <c r="H491" i="1"/>
  <c r="F491" i="1"/>
  <c r="X492" i="1"/>
  <c r="Z492" i="1" s="1"/>
  <c r="T492" i="1"/>
  <c r="R492" i="1"/>
  <c r="Q492" i="1"/>
  <c r="H492" i="1"/>
  <c r="F492" i="1"/>
  <c r="X490" i="1"/>
  <c r="Z490" i="1" s="1"/>
  <c r="T490" i="1"/>
  <c r="U490" i="1" s="1"/>
  <c r="R490" i="1"/>
  <c r="Q490" i="1"/>
  <c r="H490" i="1"/>
  <c r="F490" i="1"/>
  <c r="X489" i="1"/>
  <c r="Z489" i="1" s="1"/>
  <c r="T489" i="1"/>
  <c r="V489" i="1" s="1"/>
  <c r="R489" i="1"/>
  <c r="Q489" i="1"/>
  <c r="H489" i="1"/>
  <c r="F489" i="1"/>
  <c r="X488" i="1"/>
  <c r="Y488" i="1" s="1"/>
  <c r="T488" i="1"/>
  <c r="U488" i="1" s="1"/>
  <c r="R488" i="1"/>
  <c r="Q488" i="1"/>
  <c r="H488" i="1"/>
  <c r="F488" i="1"/>
  <c r="X487" i="1"/>
  <c r="T487" i="1"/>
  <c r="U487" i="1" s="1"/>
  <c r="R487" i="1"/>
  <c r="Q487" i="1"/>
  <c r="H487" i="1"/>
  <c r="F487" i="1"/>
  <c r="X486" i="1"/>
  <c r="Z486" i="1" s="1"/>
  <c r="T486" i="1"/>
  <c r="R486" i="1"/>
  <c r="Q486" i="1"/>
  <c r="H486" i="1"/>
  <c r="F486" i="1"/>
  <c r="X484" i="1"/>
  <c r="Z484" i="1" s="1"/>
  <c r="T484" i="1"/>
  <c r="U484" i="1" s="1"/>
  <c r="R484" i="1"/>
  <c r="Q484" i="1"/>
  <c r="H484" i="1"/>
  <c r="F484" i="1"/>
  <c r="X482" i="1"/>
  <c r="Z482" i="1" s="1"/>
  <c r="T482" i="1"/>
  <c r="R482" i="1"/>
  <c r="Q482" i="1"/>
  <c r="H482" i="1"/>
  <c r="F482" i="1"/>
  <c r="X485" i="1"/>
  <c r="Z485" i="1" s="1"/>
  <c r="T485" i="1"/>
  <c r="U485" i="1" s="1"/>
  <c r="R485" i="1"/>
  <c r="Q485" i="1"/>
  <c r="H485" i="1"/>
  <c r="F485" i="1"/>
  <c r="X483" i="1"/>
  <c r="Y483" i="1" s="1"/>
  <c r="T483" i="1"/>
  <c r="V483" i="1" s="1"/>
  <c r="R483" i="1"/>
  <c r="Q483" i="1"/>
  <c r="H483" i="1"/>
  <c r="F483" i="1"/>
  <c r="X481" i="1"/>
  <c r="Y481" i="1" s="1"/>
  <c r="T481" i="1"/>
  <c r="R481" i="1"/>
  <c r="Q481" i="1"/>
  <c r="H481" i="1"/>
  <c r="F481" i="1"/>
  <c r="X480" i="1"/>
  <c r="Y480" i="1" s="1"/>
  <c r="T480" i="1"/>
  <c r="V480" i="1" s="1"/>
  <c r="R480" i="1"/>
  <c r="Q480" i="1"/>
  <c r="H480" i="1"/>
  <c r="F480" i="1"/>
  <c r="X479" i="1"/>
  <c r="Z479" i="1" s="1"/>
  <c r="T479" i="1"/>
  <c r="R479" i="1"/>
  <c r="Q479" i="1"/>
  <c r="H479" i="1"/>
  <c r="F479" i="1"/>
  <c r="X450" i="1"/>
  <c r="Z450" i="1" s="1"/>
  <c r="T450" i="1"/>
  <c r="V450" i="1" s="1"/>
  <c r="R450" i="1"/>
  <c r="Q450" i="1"/>
  <c r="H450" i="1"/>
  <c r="F450" i="1"/>
  <c r="X409" i="1"/>
  <c r="T409" i="1"/>
  <c r="V409" i="1" s="1"/>
  <c r="R409" i="1"/>
  <c r="Q409" i="1"/>
  <c r="H409" i="1"/>
  <c r="F409" i="1"/>
  <c r="Z453" i="1"/>
  <c r="Y453" i="1"/>
  <c r="V453" i="1"/>
  <c r="U453" i="1"/>
  <c r="R453" i="1"/>
  <c r="Q453" i="1"/>
  <c r="H453" i="1"/>
  <c r="F453" i="1"/>
  <c r="Z408" i="1"/>
  <c r="Y408" i="1"/>
  <c r="V408" i="1"/>
  <c r="U408" i="1"/>
  <c r="R408" i="1"/>
  <c r="Q408" i="1"/>
  <c r="H408" i="1"/>
  <c r="F408" i="1"/>
  <c r="Z405" i="1"/>
  <c r="Y405" i="1"/>
  <c r="V405" i="1"/>
  <c r="U405" i="1"/>
  <c r="R405" i="1"/>
  <c r="Q405" i="1"/>
  <c r="H405" i="1"/>
  <c r="F405" i="1"/>
  <c r="X478" i="1"/>
  <c r="Z478" i="1" s="1"/>
  <c r="T478" i="1"/>
  <c r="V478" i="1" s="1"/>
  <c r="R478" i="1"/>
  <c r="Q478" i="1"/>
  <c r="H478" i="1"/>
  <c r="F478" i="1"/>
  <c r="X477" i="1"/>
  <c r="T477" i="1"/>
  <c r="U477" i="1" s="1"/>
  <c r="R477" i="1"/>
  <c r="Q477" i="1"/>
  <c r="H477" i="1"/>
  <c r="F477" i="1"/>
  <c r="X476" i="1"/>
  <c r="Z476" i="1" s="1"/>
  <c r="T476" i="1"/>
  <c r="R476" i="1"/>
  <c r="Q476" i="1"/>
  <c r="H476" i="1"/>
  <c r="F476" i="1"/>
  <c r="X475" i="1"/>
  <c r="Z475" i="1" s="1"/>
  <c r="T475" i="1"/>
  <c r="V475" i="1" s="1"/>
  <c r="R475" i="1"/>
  <c r="Q475" i="1"/>
  <c r="H475" i="1"/>
  <c r="F475" i="1"/>
  <c r="X474" i="1"/>
  <c r="Z474" i="1" s="1"/>
  <c r="T474" i="1"/>
  <c r="V474" i="1" s="1"/>
  <c r="R474" i="1"/>
  <c r="Q474" i="1"/>
  <c r="H474" i="1"/>
  <c r="F474" i="1"/>
  <c r="X473" i="1"/>
  <c r="Z473" i="1" s="1"/>
  <c r="T473" i="1"/>
  <c r="V473" i="1" s="1"/>
  <c r="R473" i="1"/>
  <c r="Q473" i="1"/>
  <c r="H473" i="1"/>
  <c r="F473" i="1"/>
  <c r="X472" i="1"/>
  <c r="Y472" i="1" s="1"/>
  <c r="T472" i="1"/>
  <c r="U472" i="1" s="1"/>
  <c r="R472" i="1"/>
  <c r="Q472" i="1"/>
  <c r="H472" i="1"/>
  <c r="F472" i="1"/>
  <c r="X471" i="1"/>
  <c r="Y471" i="1" s="1"/>
  <c r="T471" i="1"/>
  <c r="R471" i="1"/>
  <c r="Q471" i="1"/>
  <c r="H471" i="1"/>
  <c r="F471" i="1"/>
  <c r="X470" i="1"/>
  <c r="Z470" i="1" s="1"/>
  <c r="T470" i="1"/>
  <c r="U470" i="1" s="1"/>
  <c r="R470" i="1"/>
  <c r="Q470" i="1"/>
  <c r="H470" i="1"/>
  <c r="F470" i="1"/>
  <c r="X469" i="1"/>
  <c r="Z469" i="1" s="1"/>
  <c r="T469" i="1"/>
  <c r="V469" i="1" s="1"/>
  <c r="R469" i="1"/>
  <c r="Q469" i="1"/>
  <c r="H469" i="1"/>
  <c r="F469" i="1"/>
  <c r="X468" i="1"/>
  <c r="Z468" i="1" s="1"/>
  <c r="T468" i="1"/>
  <c r="U468" i="1" s="1"/>
  <c r="R468" i="1"/>
  <c r="Q468" i="1"/>
  <c r="H468" i="1"/>
  <c r="F468" i="1"/>
  <c r="X467" i="1"/>
  <c r="T467" i="1"/>
  <c r="U467" i="1" s="1"/>
  <c r="R467" i="1"/>
  <c r="Q467" i="1"/>
  <c r="H467" i="1"/>
  <c r="F467" i="1"/>
  <c r="X466" i="1"/>
  <c r="Y466" i="1" s="1"/>
  <c r="T466" i="1"/>
  <c r="V466" i="1" s="1"/>
  <c r="R466" i="1"/>
  <c r="Q466" i="1"/>
  <c r="H466" i="1"/>
  <c r="F466" i="1"/>
  <c r="X465" i="1"/>
  <c r="Z465" i="1" s="1"/>
  <c r="T465" i="1"/>
  <c r="U465" i="1" s="1"/>
  <c r="R465" i="1"/>
  <c r="Q465" i="1"/>
  <c r="H465" i="1"/>
  <c r="F465" i="1"/>
  <c r="X464" i="1"/>
  <c r="Z464" i="1" s="1"/>
  <c r="T464" i="1"/>
  <c r="V464" i="1" s="1"/>
  <c r="R464" i="1"/>
  <c r="Q464" i="1"/>
  <c r="H464" i="1"/>
  <c r="F464" i="1"/>
  <c r="X463" i="1"/>
  <c r="Y463" i="1" s="1"/>
  <c r="T463" i="1"/>
  <c r="U463" i="1" s="1"/>
  <c r="R463" i="1"/>
  <c r="Q463" i="1"/>
  <c r="H463" i="1"/>
  <c r="F463" i="1"/>
  <c r="X462" i="1"/>
  <c r="Z462" i="1" s="1"/>
  <c r="T462" i="1"/>
  <c r="R462" i="1"/>
  <c r="Q462" i="1"/>
  <c r="H462" i="1"/>
  <c r="F462" i="1"/>
  <c r="X461" i="1"/>
  <c r="Z461" i="1" s="1"/>
  <c r="T461" i="1"/>
  <c r="V461" i="1" s="1"/>
  <c r="R461" i="1"/>
  <c r="Q461" i="1"/>
  <c r="H461" i="1"/>
  <c r="F461" i="1"/>
  <c r="X460" i="1"/>
  <c r="Y460" i="1" s="1"/>
  <c r="T460" i="1"/>
  <c r="U460" i="1" s="1"/>
  <c r="R460" i="1"/>
  <c r="Q460" i="1"/>
  <c r="H460" i="1"/>
  <c r="F460" i="1"/>
  <c r="X459" i="1"/>
  <c r="Z459" i="1" s="1"/>
  <c r="T459" i="1"/>
  <c r="U459" i="1" s="1"/>
  <c r="R459" i="1"/>
  <c r="Q459" i="1"/>
  <c r="H459" i="1"/>
  <c r="F459" i="1"/>
  <c r="X458" i="1"/>
  <c r="Z458" i="1" s="1"/>
  <c r="T458" i="1"/>
  <c r="V458" i="1" s="1"/>
  <c r="R458" i="1"/>
  <c r="Q458" i="1"/>
  <c r="H458" i="1"/>
  <c r="F458" i="1"/>
  <c r="X457" i="1"/>
  <c r="Z457" i="1" s="1"/>
  <c r="T457" i="1"/>
  <c r="R457" i="1"/>
  <c r="Q457" i="1"/>
  <c r="H457" i="1"/>
  <c r="F457" i="1"/>
  <c r="X456" i="1"/>
  <c r="Y456" i="1" s="1"/>
  <c r="T456" i="1"/>
  <c r="V456" i="1" s="1"/>
  <c r="R456" i="1"/>
  <c r="Q456" i="1"/>
  <c r="H456" i="1"/>
  <c r="F456" i="1"/>
  <c r="X455" i="1"/>
  <c r="Z455" i="1" s="1"/>
  <c r="T455" i="1"/>
  <c r="U455" i="1" s="1"/>
  <c r="R455" i="1"/>
  <c r="Q455" i="1"/>
  <c r="H455" i="1"/>
  <c r="F455" i="1"/>
  <c r="X454" i="1"/>
  <c r="Z454" i="1" s="1"/>
  <c r="T454" i="1"/>
  <c r="V454" i="1" s="1"/>
  <c r="R454" i="1"/>
  <c r="Q454" i="1"/>
  <c r="H454" i="1"/>
  <c r="F454" i="1"/>
  <c r="X452" i="1"/>
  <c r="T452" i="1"/>
  <c r="U452" i="1" s="1"/>
  <c r="R452" i="1"/>
  <c r="Q452" i="1"/>
  <c r="H452" i="1"/>
  <c r="F452" i="1"/>
  <c r="X451" i="1"/>
  <c r="Z451" i="1" s="1"/>
  <c r="T451" i="1"/>
  <c r="R451" i="1"/>
  <c r="Q451" i="1"/>
  <c r="H451" i="1"/>
  <c r="F451" i="1"/>
  <c r="X449" i="1"/>
  <c r="Z449" i="1" s="1"/>
  <c r="T449" i="1"/>
  <c r="V449" i="1" s="1"/>
  <c r="R449" i="1"/>
  <c r="Q449" i="1"/>
  <c r="H449" i="1"/>
  <c r="F449" i="1"/>
  <c r="X448" i="1"/>
  <c r="Y448" i="1" s="1"/>
  <c r="T448" i="1"/>
  <c r="R448" i="1"/>
  <c r="Q448" i="1"/>
  <c r="H448" i="1"/>
  <c r="F448" i="1"/>
  <c r="X447" i="1"/>
  <c r="Z447" i="1" s="1"/>
  <c r="T447" i="1"/>
  <c r="V447" i="1" s="1"/>
  <c r="R447" i="1"/>
  <c r="Q447" i="1"/>
  <c r="H447" i="1"/>
  <c r="F447" i="1"/>
  <c r="X446" i="1"/>
  <c r="Z446" i="1" s="1"/>
  <c r="T446" i="1"/>
  <c r="V446" i="1" s="1"/>
  <c r="R446" i="1"/>
  <c r="Q446" i="1"/>
  <c r="H446" i="1"/>
  <c r="F446" i="1"/>
  <c r="X445" i="1"/>
  <c r="Z445" i="1" s="1"/>
  <c r="T445" i="1"/>
  <c r="R445" i="1"/>
  <c r="Q445" i="1"/>
  <c r="H445" i="1"/>
  <c r="F445" i="1"/>
  <c r="X444" i="1"/>
  <c r="Z444" i="1" s="1"/>
  <c r="T444" i="1"/>
  <c r="U444" i="1" s="1"/>
  <c r="R444" i="1"/>
  <c r="Q444" i="1"/>
  <c r="H444" i="1"/>
  <c r="F444" i="1"/>
  <c r="X443" i="1"/>
  <c r="Y443" i="1" s="1"/>
  <c r="T443" i="1"/>
  <c r="R443" i="1"/>
  <c r="Q443" i="1"/>
  <c r="H443" i="1"/>
  <c r="F443" i="1"/>
  <c r="X442" i="1"/>
  <c r="Z442" i="1" s="1"/>
  <c r="T442" i="1"/>
  <c r="U442" i="1" s="1"/>
  <c r="R442" i="1"/>
  <c r="Q442" i="1"/>
  <c r="H442" i="1"/>
  <c r="F442" i="1"/>
  <c r="X441" i="1"/>
  <c r="T441" i="1"/>
  <c r="V441" i="1" s="1"/>
  <c r="R441" i="1"/>
  <c r="Q441" i="1"/>
  <c r="H441" i="1"/>
  <c r="F441" i="1"/>
  <c r="X440" i="1"/>
  <c r="Y440" i="1" s="1"/>
  <c r="T440" i="1"/>
  <c r="V440" i="1" s="1"/>
  <c r="R440" i="1"/>
  <c r="Q440" i="1"/>
  <c r="H440" i="1"/>
  <c r="F440" i="1"/>
  <c r="X439" i="1"/>
  <c r="T439" i="1"/>
  <c r="U439" i="1" s="1"/>
  <c r="R439" i="1"/>
  <c r="Q439" i="1"/>
  <c r="H439" i="1"/>
  <c r="F439" i="1"/>
  <c r="X438" i="1"/>
  <c r="Y438" i="1" s="1"/>
  <c r="T438" i="1"/>
  <c r="R438" i="1"/>
  <c r="Q438" i="1"/>
  <c r="H438" i="1"/>
  <c r="F438" i="1"/>
  <c r="X437" i="1"/>
  <c r="Z437" i="1" s="1"/>
  <c r="T437" i="1"/>
  <c r="U437" i="1" s="1"/>
  <c r="R437" i="1"/>
  <c r="Q437" i="1"/>
  <c r="H437" i="1"/>
  <c r="F437" i="1"/>
  <c r="X436" i="1"/>
  <c r="Z436" i="1" s="1"/>
  <c r="T436" i="1"/>
  <c r="V436" i="1" s="1"/>
  <c r="R436" i="1"/>
  <c r="Q436" i="1"/>
  <c r="H436" i="1"/>
  <c r="F436" i="1"/>
  <c r="X435" i="1"/>
  <c r="Z435" i="1" s="1"/>
  <c r="T435" i="1"/>
  <c r="V435" i="1" s="1"/>
  <c r="R435" i="1"/>
  <c r="Q435" i="1"/>
  <c r="H435" i="1"/>
  <c r="F435" i="1"/>
  <c r="X434" i="1"/>
  <c r="Y434" i="1" s="1"/>
  <c r="T434" i="1"/>
  <c r="U434" i="1" s="1"/>
  <c r="R434" i="1"/>
  <c r="Q434" i="1"/>
  <c r="H434" i="1"/>
  <c r="F434" i="1"/>
  <c r="X283" i="1"/>
  <c r="Z283" i="1" s="1"/>
  <c r="T283" i="1"/>
  <c r="R283" i="1"/>
  <c r="Q283" i="1"/>
  <c r="H283" i="1"/>
  <c r="F283" i="1"/>
  <c r="X433" i="1"/>
  <c r="Z433" i="1" s="1"/>
  <c r="T433" i="1"/>
  <c r="V433" i="1" s="1"/>
  <c r="R433" i="1"/>
  <c r="Q433" i="1"/>
  <c r="H433" i="1"/>
  <c r="F433" i="1"/>
  <c r="X432" i="1"/>
  <c r="Z432" i="1" s="1"/>
  <c r="T432" i="1"/>
  <c r="U432" i="1" s="1"/>
  <c r="R432" i="1"/>
  <c r="Q432" i="1"/>
  <c r="H432" i="1"/>
  <c r="F432" i="1"/>
  <c r="X431" i="1"/>
  <c r="Y431" i="1" s="1"/>
  <c r="T431" i="1"/>
  <c r="V431" i="1" s="1"/>
  <c r="R431" i="1"/>
  <c r="Q431" i="1"/>
  <c r="H431" i="1"/>
  <c r="F431" i="1"/>
  <c r="X430" i="1"/>
  <c r="T430" i="1"/>
  <c r="U430" i="1" s="1"/>
  <c r="R430" i="1"/>
  <c r="Q430" i="1"/>
  <c r="H430" i="1"/>
  <c r="F430" i="1"/>
  <c r="X429" i="1"/>
  <c r="Z429" i="1" s="1"/>
  <c r="T429" i="1"/>
  <c r="V429" i="1" s="1"/>
  <c r="R429" i="1"/>
  <c r="Q429" i="1"/>
  <c r="H429" i="1"/>
  <c r="F429" i="1"/>
  <c r="X428" i="1"/>
  <c r="Z428" i="1" s="1"/>
  <c r="T428" i="1"/>
  <c r="U428" i="1" s="1"/>
  <c r="R428" i="1"/>
  <c r="Q428" i="1"/>
  <c r="H428" i="1"/>
  <c r="F428" i="1"/>
  <c r="X427" i="1"/>
  <c r="Z427" i="1" s="1"/>
  <c r="T427" i="1"/>
  <c r="U427" i="1" s="1"/>
  <c r="R427" i="1"/>
  <c r="Q427" i="1"/>
  <c r="H427" i="1"/>
  <c r="F427" i="1"/>
  <c r="X426" i="1"/>
  <c r="Y426" i="1" s="1"/>
  <c r="T426" i="1"/>
  <c r="V426" i="1" s="1"/>
  <c r="R426" i="1"/>
  <c r="Q426" i="1"/>
  <c r="H426" i="1"/>
  <c r="F426" i="1"/>
  <c r="X425" i="1"/>
  <c r="Z425" i="1" s="1"/>
  <c r="T425" i="1"/>
  <c r="R425" i="1"/>
  <c r="Q425" i="1"/>
  <c r="H425" i="1"/>
  <c r="F425" i="1"/>
  <c r="X424" i="1"/>
  <c r="Z424" i="1" s="1"/>
  <c r="T424" i="1"/>
  <c r="V424" i="1" s="1"/>
  <c r="R424" i="1"/>
  <c r="Q424" i="1"/>
  <c r="H424" i="1"/>
  <c r="F424" i="1"/>
  <c r="X423" i="1"/>
  <c r="Z423" i="1" s="1"/>
  <c r="T423" i="1"/>
  <c r="V423" i="1" s="1"/>
  <c r="R423" i="1"/>
  <c r="Q423" i="1"/>
  <c r="H423" i="1"/>
  <c r="F423" i="1"/>
  <c r="X422" i="1"/>
  <c r="Y422" i="1" s="1"/>
  <c r="T422" i="1"/>
  <c r="U422" i="1" s="1"/>
  <c r="R422" i="1"/>
  <c r="Q422" i="1"/>
  <c r="H422" i="1"/>
  <c r="F422" i="1"/>
  <c r="X421" i="1"/>
  <c r="Z421" i="1" s="1"/>
  <c r="T421" i="1"/>
  <c r="U421" i="1" s="1"/>
  <c r="R421" i="1"/>
  <c r="Q421" i="1"/>
  <c r="H421" i="1"/>
  <c r="F421" i="1"/>
  <c r="X420" i="1"/>
  <c r="Z420" i="1" s="1"/>
  <c r="T420" i="1"/>
  <c r="R420" i="1"/>
  <c r="Q420" i="1"/>
  <c r="H420" i="1"/>
  <c r="F420" i="1"/>
  <c r="X419" i="1"/>
  <c r="Z419" i="1" s="1"/>
  <c r="T419" i="1"/>
  <c r="V419" i="1" s="1"/>
  <c r="R419" i="1"/>
  <c r="Q419" i="1"/>
  <c r="H419" i="1"/>
  <c r="F419" i="1"/>
  <c r="X417" i="1"/>
  <c r="Z417" i="1" s="1"/>
  <c r="T417" i="1"/>
  <c r="V417" i="1" s="1"/>
  <c r="R417" i="1"/>
  <c r="Q417" i="1"/>
  <c r="H417" i="1"/>
  <c r="F417" i="1"/>
  <c r="X416" i="1"/>
  <c r="Z416" i="1" s="1"/>
  <c r="T416" i="1"/>
  <c r="U416" i="1" s="1"/>
  <c r="R416" i="1"/>
  <c r="Q416" i="1"/>
  <c r="H416" i="1"/>
  <c r="F416" i="1"/>
  <c r="X415" i="1"/>
  <c r="T415" i="1"/>
  <c r="U415" i="1" s="1"/>
  <c r="R415" i="1"/>
  <c r="Q415" i="1"/>
  <c r="H415" i="1"/>
  <c r="F415" i="1"/>
  <c r="X414" i="1"/>
  <c r="Z414" i="1" s="1"/>
  <c r="T414" i="1"/>
  <c r="R414" i="1"/>
  <c r="Q414" i="1"/>
  <c r="H414" i="1"/>
  <c r="F414" i="1"/>
  <c r="X413" i="1"/>
  <c r="Y413" i="1" s="1"/>
  <c r="T413" i="1"/>
  <c r="U413" i="1" s="1"/>
  <c r="R413" i="1"/>
  <c r="Q413" i="1"/>
  <c r="H413" i="1"/>
  <c r="F413" i="1"/>
  <c r="X412" i="1"/>
  <c r="Z412" i="1" s="1"/>
  <c r="T412" i="1"/>
  <c r="R412" i="1"/>
  <c r="Q412" i="1"/>
  <c r="H412" i="1"/>
  <c r="F412" i="1"/>
  <c r="X411" i="1"/>
  <c r="Z411" i="1" s="1"/>
  <c r="T411" i="1"/>
  <c r="V411" i="1" s="1"/>
  <c r="R411" i="1"/>
  <c r="Q411" i="1"/>
  <c r="H411" i="1"/>
  <c r="F411" i="1"/>
  <c r="X410" i="1"/>
  <c r="Y410" i="1" s="1"/>
  <c r="T410" i="1"/>
  <c r="V410" i="1" s="1"/>
  <c r="R410" i="1"/>
  <c r="Q410" i="1"/>
  <c r="H410" i="1"/>
  <c r="F410" i="1"/>
  <c r="X407" i="1"/>
  <c r="Y407" i="1" s="1"/>
  <c r="T407" i="1"/>
  <c r="R407" i="1"/>
  <c r="Q407" i="1"/>
  <c r="H407" i="1"/>
  <c r="F407" i="1"/>
  <c r="X406" i="1"/>
  <c r="Y406" i="1" s="1"/>
  <c r="T406" i="1"/>
  <c r="V406" i="1" s="1"/>
  <c r="R406" i="1"/>
  <c r="Q406" i="1"/>
  <c r="H406" i="1"/>
  <c r="F406" i="1"/>
  <c r="X404" i="1"/>
  <c r="Z404" i="1" s="1"/>
  <c r="T404" i="1"/>
  <c r="R404" i="1"/>
  <c r="Q404" i="1"/>
  <c r="H404" i="1"/>
  <c r="F404" i="1"/>
  <c r="X403" i="1"/>
  <c r="Z403" i="1" s="1"/>
  <c r="T403" i="1"/>
  <c r="U403" i="1" s="1"/>
  <c r="R403" i="1"/>
  <c r="Q403" i="1"/>
  <c r="H403" i="1"/>
  <c r="F403" i="1"/>
  <c r="Z418" i="1"/>
  <c r="Y418" i="1"/>
  <c r="V418" i="1"/>
  <c r="U418" i="1"/>
  <c r="R418" i="1"/>
  <c r="Q418" i="1"/>
  <c r="H418" i="1"/>
  <c r="F418" i="1"/>
  <c r="X391" i="1"/>
  <c r="Z391" i="1" s="1"/>
  <c r="T391" i="1"/>
  <c r="U391" i="1" s="1"/>
  <c r="R391" i="1"/>
  <c r="Q391" i="1"/>
  <c r="H391" i="1"/>
  <c r="F391" i="1"/>
  <c r="Z400" i="1"/>
  <c r="Y400" i="1"/>
  <c r="V400" i="1"/>
  <c r="U400" i="1"/>
  <c r="R400" i="1"/>
  <c r="Q400" i="1"/>
  <c r="H400" i="1"/>
  <c r="F400" i="1"/>
  <c r="Z393" i="1"/>
  <c r="Y393" i="1"/>
  <c r="V393" i="1"/>
  <c r="U393" i="1"/>
  <c r="R393" i="1"/>
  <c r="Q393" i="1"/>
  <c r="H393" i="1"/>
  <c r="F393" i="1"/>
  <c r="Z390" i="1"/>
  <c r="Y390" i="1"/>
  <c r="V390" i="1"/>
  <c r="U390" i="1"/>
  <c r="R390" i="1"/>
  <c r="Q390" i="1"/>
  <c r="H390" i="1"/>
  <c r="F390" i="1"/>
  <c r="Z375" i="1"/>
  <c r="Y375" i="1"/>
  <c r="V375" i="1"/>
  <c r="U375" i="1"/>
  <c r="R375" i="1"/>
  <c r="Q375" i="1"/>
  <c r="H375" i="1"/>
  <c r="F375" i="1"/>
  <c r="X402" i="1"/>
  <c r="Y402" i="1" s="1"/>
  <c r="T402" i="1"/>
  <c r="V402" i="1" s="1"/>
  <c r="R402" i="1"/>
  <c r="Q402" i="1"/>
  <c r="H402" i="1"/>
  <c r="F402" i="1"/>
  <c r="X401" i="1"/>
  <c r="Z401" i="1" s="1"/>
  <c r="T401" i="1"/>
  <c r="U401" i="1" s="1"/>
  <c r="R401" i="1"/>
  <c r="Q401" i="1"/>
  <c r="H401" i="1"/>
  <c r="F401" i="1"/>
  <c r="X399" i="1"/>
  <c r="Z399" i="1" s="1"/>
  <c r="T399" i="1"/>
  <c r="R399" i="1"/>
  <c r="Q399" i="1"/>
  <c r="H399" i="1"/>
  <c r="F399" i="1"/>
  <c r="X398" i="1"/>
  <c r="Y398" i="1" s="1"/>
  <c r="T398" i="1"/>
  <c r="U398" i="1" s="1"/>
  <c r="R398" i="1"/>
  <c r="Q398" i="1"/>
  <c r="H398" i="1"/>
  <c r="F398" i="1"/>
  <c r="X397" i="1"/>
  <c r="Z397" i="1" s="1"/>
  <c r="T397" i="1"/>
  <c r="V397" i="1" s="1"/>
  <c r="R397" i="1"/>
  <c r="Q397" i="1"/>
  <c r="H397" i="1"/>
  <c r="F397" i="1"/>
  <c r="X396" i="1"/>
  <c r="Y396" i="1" s="1"/>
  <c r="T396" i="1"/>
  <c r="U396" i="1" s="1"/>
  <c r="R396" i="1"/>
  <c r="Q396" i="1"/>
  <c r="H396" i="1"/>
  <c r="F396" i="1"/>
  <c r="X395" i="1"/>
  <c r="T395" i="1"/>
  <c r="V395" i="1" s="1"/>
  <c r="R395" i="1"/>
  <c r="Q395" i="1"/>
  <c r="H395" i="1"/>
  <c r="F395" i="1"/>
  <c r="X394" i="1"/>
  <c r="Z394" i="1" s="1"/>
  <c r="T394" i="1"/>
  <c r="R394" i="1"/>
  <c r="Q394" i="1"/>
  <c r="H394" i="1"/>
  <c r="F394" i="1"/>
  <c r="X392" i="1"/>
  <c r="Z392" i="1" s="1"/>
  <c r="T392" i="1"/>
  <c r="V392" i="1" s="1"/>
  <c r="R392" i="1"/>
  <c r="Q392" i="1"/>
  <c r="H392" i="1"/>
  <c r="F392" i="1"/>
  <c r="X389" i="1"/>
  <c r="Z389" i="1" s="1"/>
  <c r="T389" i="1"/>
  <c r="U389" i="1" s="1"/>
  <c r="R389" i="1"/>
  <c r="Q389" i="1"/>
  <c r="H389" i="1"/>
  <c r="F389" i="1"/>
  <c r="X388" i="1"/>
  <c r="Z388" i="1" s="1"/>
  <c r="T388" i="1"/>
  <c r="V388" i="1" s="1"/>
  <c r="R388" i="1"/>
  <c r="Q388" i="1"/>
  <c r="H388" i="1"/>
  <c r="F388" i="1"/>
  <c r="X387" i="1"/>
  <c r="T387" i="1"/>
  <c r="R387" i="1"/>
  <c r="Q387" i="1"/>
  <c r="H387" i="1"/>
  <c r="F387" i="1"/>
  <c r="X386" i="1"/>
  <c r="Z386" i="1" s="1"/>
  <c r="T386" i="1"/>
  <c r="V386" i="1" s="1"/>
  <c r="R386" i="1"/>
  <c r="Q386" i="1"/>
  <c r="H386" i="1"/>
  <c r="F386" i="1"/>
  <c r="X385" i="1"/>
  <c r="Z385" i="1" s="1"/>
  <c r="T385" i="1"/>
  <c r="V385" i="1" s="1"/>
  <c r="R385" i="1"/>
  <c r="Q385" i="1"/>
  <c r="H385" i="1"/>
  <c r="F385" i="1"/>
  <c r="X384" i="1"/>
  <c r="Z384" i="1" s="1"/>
  <c r="T384" i="1"/>
  <c r="R384" i="1"/>
  <c r="Q384" i="1"/>
  <c r="H384" i="1"/>
  <c r="F384" i="1"/>
  <c r="X383" i="1"/>
  <c r="T383" i="1"/>
  <c r="U383" i="1" s="1"/>
  <c r="R383" i="1"/>
  <c r="Q383" i="1"/>
  <c r="H383" i="1"/>
  <c r="F383" i="1"/>
  <c r="X382" i="1"/>
  <c r="T382" i="1"/>
  <c r="R382" i="1"/>
  <c r="Q382" i="1"/>
  <c r="H382" i="1"/>
  <c r="F382" i="1"/>
  <c r="X381" i="1"/>
  <c r="Z381" i="1" s="1"/>
  <c r="T381" i="1"/>
  <c r="V381" i="1" s="1"/>
  <c r="R381" i="1"/>
  <c r="Q381" i="1"/>
  <c r="H381" i="1"/>
  <c r="F381" i="1"/>
  <c r="X380" i="1"/>
  <c r="T380" i="1"/>
  <c r="V380" i="1" s="1"/>
  <c r="R380" i="1"/>
  <c r="Q380" i="1"/>
  <c r="H380" i="1"/>
  <c r="F380" i="1"/>
  <c r="X379" i="1"/>
  <c r="Z379" i="1" s="1"/>
  <c r="T379" i="1"/>
  <c r="R379" i="1"/>
  <c r="Q379" i="1"/>
  <c r="H379" i="1"/>
  <c r="F379" i="1"/>
  <c r="X378" i="1"/>
  <c r="Z378" i="1" s="1"/>
  <c r="T378" i="1"/>
  <c r="V378" i="1" s="1"/>
  <c r="R378" i="1"/>
  <c r="Q378" i="1"/>
  <c r="H378" i="1"/>
  <c r="F378" i="1"/>
  <c r="X377" i="1"/>
  <c r="Z377" i="1" s="1"/>
  <c r="T377" i="1"/>
  <c r="R377" i="1"/>
  <c r="Q377" i="1"/>
  <c r="H377" i="1"/>
  <c r="F377" i="1"/>
  <c r="X376" i="1"/>
  <c r="Z376" i="1" s="1"/>
  <c r="T376" i="1"/>
  <c r="V376" i="1" s="1"/>
  <c r="R376" i="1"/>
  <c r="Q376" i="1"/>
  <c r="H376" i="1"/>
  <c r="F376" i="1"/>
  <c r="X374" i="1"/>
  <c r="T374" i="1"/>
  <c r="V374" i="1" s="1"/>
  <c r="R374" i="1"/>
  <c r="Q374" i="1"/>
  <c r="H374" i="1"/>
  <c r="F374" i="1"/>
  <c r="X373" i="1"/>
  <c r="Z373" i="1" s="1"/>
  <c r="T373" i="1"/>
  <c r="V373" i="1" s="1"/>
  <c r="R373" i="1"/>
  <c r="Q373" i="1"/>
  <c r="H373" i="1"/>
  <c r="F373" i="1"/>
  <c r="X372" i="1"/>
  <c r="T372" i="1"/>
  <c r="V372" i="1" s="1"/>
  <c r="R372" i="1"/>
  <c r="Q372" i="1"/>
  <c r="H372" i="1"/>
  <c r="F372" i="1"/>
  <c r="X371" i="1"/>
  <c r="Z371" i="1" s="1"/>
  <c r="T371" i="1"/>
  <c r="U371" i="1" s="1"/>
  <c r="R371" i="1"/>
  <c r="Q371" i="1"/>
  <c r="H371" i="1"/>
  <c r="F371" i="1"/>
  <c r="X370" i="1"/>
  <c r="Y370" i="1" s="1"/>
  <c r="T370" i="1"/>
  <c r="U370" i="1" s="1"/>
  <c r="R370" i="1"/>
  <c r="Q370" i="1"/>
  <c r="H370" i="1"/>
  <c r="F370" i="1"/>
  <c r="X369" i="1"/>
  <c r="T369" i="1"/>
  <c r="V369" i="1" s="1"/>
  <c r="R369" i="1"/>
  <c r="Q369" i="1"/>
  <c r="H369" i="1"/>
  <c r="F369" i="1"/>
  <c r="X368" i="1"/>
  <c r="Z368" i="1" s="1"/>
  <c r="T368" i="1"/>
  <c r="V368" i="1" s="1"/>
  <c r="R368" i="1"/>
  <c r="Q368" i="1"/>
  <c r="H368" i="1"/>
  <c r="F368" i="1"/>
  <c r="X367" i="1"/>
  <c r="Y367" i="1" s="1"/>
  <c r="T367" i="1"/>
  <c r="V367" i="1" s="1"/>
  <c r="R367" i="1"/>
  <c r="Q367" i="1"/>
  <c r="H367" i="1"/>
  <c r="F367" i="1"/>
  <c r="X365" i="1"/>
  <c r="Z365" i="1" s="1"/>
  <c r="T365" i="1"/>
  <c r="U365" i="1" s="1"/>
  <c r="R365" i="1"/>
  <c r="Q365" i="1"/>
  <c r="H365" i="1"/>
  <c r="F365" i="1"/>
  <c r="X364" i="1"/>
  <c r="Z364" i="1" s="1"/>
  <c r="T364" i="1"/>
  <c r="V364" i="1" s="1"/>
  <c r="R364" i="1"/>
  <c r="Q364" i="1"/>
  <c r="H364" i="1"/>
  <c r="F364" i="1"/>
  <c r="X363" i="1"/>
  <c r="Z363" i="1" s="1"/>
  <c r="T363" i="1"/>
  <c r="U363" i="1" s="1"/>
  <c r="R363" i="1"/>
  <c r="Q363" i="1"/>
  <c r="H363" i="1"/>
  <c r="F363" i="1"/>
  <c r="Z366" i="1"/>
  <c r="Y366" i="1"/>
  <c r="V366" i="1"/>
  <c r="U366" i="1"/>
  <c r="R366" i="1"/>
  <c r="Q366" i="1"/>
  <c r="H366" i="1"/>
  <c r="F366" i="1"/>
  <c r="X362" i="1"/>
  <c r="Y362" i="1" s="1"/>
  <c r="T362" i="1"/>
  <c r="U362" i="1" s="1"/>
  <c r="R362" i="1"/>
  <c r="Q362" i="1"/>
  <c r="H362" i="1"/>
  <c r="F362" i="1"/>
  <c r="X361" i="1"/>
  <c r="Z361" i="1" s="1"/>
  <c r="T361" i="1"/>
  <c r="U361" i="1" s="1"/>
  <c r="R361" i="1"/>
  <c r="Q361" i="1"/>
  <c r="H361" i="1"/>
  <c r="F361" i="1"/>
  <c r="X360" i="1"/>
  <c r="Z360" i="1" s="1"/>
  <c r="T360" i="1"/>
  <c r="R360" i="1"/>
  <c r="Q360" i="1"/>
  <c r="H360" i="1"/>
  <c r="F360" i="1"/>
  <c r="X359" i="1"/>
  <c r="Z359" i="1" s="1"/>
  <c r="T359" i="1"/>
  <c r="U359" i="1" s="1"/>
  <c r="R359" i="1"/>
  <c r="Q359" i="1"/>
  <c r="H359" i="1"/>
  <c r="F359" i="1"/>
  <c r="Z358" i="1"/>
  <c r="Y358" i="1"/>
  <c r="V358" i="1"/>
  <c r="U358" i="1"/>
  <c r="R358" i="1"/>
  <c r="Q358" i="1"/>
  <c r="H358" i="1"/>
  <c r="F358" i="1"/>
  <c r="X350" i="1"/>
  <c r="T350" i="1"/>
  <c r="R350" i="1"/>
  <c r="Q350" i="1"/>
  <c r="H350" i="1"/>
  <c r="F350" i="1"/>
  <c r="Z343" i="1"/>
  <c r="Y343" i="1"/>
  <c r="V343" i="1"/>
  <c r="U343" i="1"/>
  <c r="R343" i="1"/>
  <c r="Q343" i="1"/>
  <c r="H343" i="1"/>
  <c r="F343" i="1"/>
  <c r="Z341" i="1"/>
  <c r="Y341" i="1"/>
  <c r="V341" i="1"/>
  <c r="U341" i="1"/>
  <c r="R341" i="1"/>
  <c r="Q341" i="1"/>
  <c r="H341" i="1"/>
  <c r="F341" i="1"/>
  <c r="X357" i="1"/>
  <c r="Y357" i="1" s="1"/>
  <c r="T357" i="1"/>
  <c r="U357" i="1" s="1"/>
  <c r="R357" i="1"/>
  <c r="Q357" i="1"/>
  <c r="H357" i="1"/>
  <c r="F357" i="1"/>
  <c r="X356" i="1"/>
  <c r="T356" i="1"/>
  <c r="R356" i="1"/>
  <c r="Q356" i="1"/>
  <c r="H356" i="1"/>
  <c r="F356" i="1"/>
  <c r="X355" i="1"/>
  <c r="Z355" i="1" s="1"/>
  <c r="T355" i="1"/>
  <c r="R355" i="1"/>
  <c r="Q355" i="1"/>
  <c r="H355" i="1"/>
  <c r="F355" i="1"/>
  <c r="X354" i="1"/>
  <c r="Y354" i="1" s="1"/>
  <c r="T354" i="1"/>
  <c r="V354" i="1" s="1"/>
  <c r="R354" i="1"/>
  <c r="Q354" i="1"/>
  <c r="H354" i="1"/>
  <c r="F354" i="1"/>
  <c r="X353" i="1"/>
  <c r="Y353" i="1" s="1"/>
  <c r="T353" i="1"/>
  <c r="U353" i="1" s="1"/>
  <c r="R353" i="1"/>
  <c r="Q353" i="1"/>
  <c r="H353" i="1"/>
  <c r="F353" i="1"/>
  <c r="X352" i="1"/>
  <c r="Y352" i="1" s="1"/>
  <c r="T352" i="1"/>
  <c r="U352" i="1" s="1"/>
  <c r="R352" i="1"/>
  <c r="Q352" i="1"/>
  <c r="H352" i="1"/>
  <c r="F352" i="1"/>
  <c r="X351" i="1"/>
  <c r="T351" i="1"/>
  <c r="R351" i="1"/>
  <c r="Q351" i="1"/>
  <c r="H351" i="1"/>
  <c r="F351" i="1"/>
  <c r="X349" i="1"/>
  <c r="Y349" i="1" s="1"/>
  <c r="T349" i="1"/>
  <c r="V349" i="1" s="1"/>
  <c r="R349" i="1"/>
  <c r="Q349" i="1"/>
  <c r="H349" i="1"/>
  <c r="F349" i="1"/>
  <c r="X348" i="1"/>
  <c r="Z348" i="1" s="1"/>
  <c r="T348" i="1"/>
  <c r="V348" i="1" s="1"/>
  <c r="R348" i="1"/>
  <c r="Q348" i="1"/>
  <c r="H348" i="1"/>
  <c r="F348" i="1"/>
  <c r="X347" i="1"/>
  <c r="Z347" i="1" s="1"/>
  <c r="T347" i="1"/>
  <c r="R347" i="1"/>
  <c r="Q347" i="1"/>
  <c r="H347" i="1"/>
  <c r="F347" i="1"/>
  <c r="X346" i="1"/>
  <c r="T346" i="1"/>
  <c r="U346" i="1" s="1"/>
  <c r="R346" i="1"/>
  <c r="Q346" i="1"/>
  <c r="H346" i="1"/>
  <c r="F346" i="1"/>
  <c r="X345" i="1"/>
  <c r="T345" i="1"/>
  <c r="R345" i="1"/>
  <c r="Q345" i="1"/>
  <c r="H345" i="1"/>
  <c r="F345" i="1"/>
  <c r="X344" i="1"/>
  <c r="Z344" i="1" s="1"/>
  <c r="T344" i="1"/>
  <c r="V344" i="1" s="1"/>
  <c r="R344" i="1"/>
  <c r="Q344" i="1"/>
  <c r="H344" i="1"/>
  <c r="F344" i="1"/>
  <c r="X342" i="1"/>
  <c r="T342" i="1"/>
  <c r="U342" i="1" s="1"/>
  <c r="R342" i="1"/>
  <c r="Q342" i="1"/>
  <c r="H342" i="1"/>
  <c r="F342" i="1"/>
  <c r="X340" i="1"/>
  <c r="Z340" i="1" s="1"/>
  <c r="T340" i="1"/>
  <c r="R340" i="1"/>
  <c r="Q340" i="1"/>
  <c r="H340" i="1"/>
  <c r="F340" i="1"/>
  <c r="X331" i="1"/>
  <c r="Z331" i="1" s="1"/>
  <c r="T331" i="1"/>
  <c r="V331" i="1" s="1"/>
  <c r="R331" i="1"/>
  <c r="Q331" i="1"/>
  <c r="H331" i="1"/>
  <c r="F331" i="1"/>
  <c r="X330" i="1"/>
  <c r="Z330" i="1" s="1"/>
  <c r="T330" i="1"/>
  <c r="R330" i="1"/>
  <c r="Q330" i="1"/>
  <c r="H330" i="1"/>
  <c r="F330" i="1"/>
  <c r="X339" i="1"/>
  <c r="Y339" i="1" s="1"/>
  <c r="T339" i="1"/>
  <c r="V339" i="1" s="1"/>
  <c r="R339" i="1"/>
  <c r="Q339" i="1"/>
  <c r="H339" i="1"/>
  <c r="F339" i="1"/>
  <c r="X338" i="1"/>
  <c r="T338" i="1"/>
  <c r="V338" i="1" s="1"/>
  <c r="R338" i="1"/>
  <c r="Q338" i="1"/>
  <c r="H338" i="1"/>
  <c r="F338" i="1"/>
  <c r="X337" i="1"/>
  <c r="Z337" i="1" s="1"/>
  <c r="T337" i="1"/>
  <c r="V337" i="1" s="1"/>
  <c r="R337" i="1"/>
  <c r="Q337" i="1"/>
  <c r="H337" i="1"/>
  <c r="F337" i="1"/>
  <c r="X335" i="1"/>
  <c r="T335" i="1"/>
  <c r="V335" i="1" s="1"/>
  <c r="R335" i="1"/>
  <c r="Q335" i="1"/>
  <c r="H335" i="1"/>
  <c r="F335" i="1"/>
  <c r="X334" i="1"/>
  <c r="Y334" i="1" s="1"/>
  <c r="T334" i="1"/>
  <c r="U334" i="1" s="1"/>
  <c r="R334" i="1"/>
  <c r="Q334" i="1"/>
  <c r="H334" i="1"/>
  <c r="F334" i="1"/>
  <c r="X333" i="1"/>
  <c r="Z333" i="1" s="1"/>
  <c r="T333" i="1"/>
  <c r="U333" i="1" s="1"/>
  <c r="R333" i="1"/>
  <c r="Q333" i="1"/>
  <c r="H333" i="1"/>
  <c r="F333" i="1"/>
  <c r="X332" i="1"/>
  <c r="T332" i="1"/>
  <c r="U332" i="1" s="1"/>
  <c r="R332" i="1"/>
  <c r="Q332" i="1"/>
  <c r="H332" i="1"/>
  <c r="F332" i="1"/>
  <c r="X328" i="1"/>
  <c r="Z328" i="1" s="1"/>
  <c r="T328" i="1"/>
  <c r="V328" i="1" s="1"/>
  <c r="R328" i="1"/>
  <c r="Q328" i="1"/>
  <c r="H328" i="1"/>
  <c r="F328" i="1"/>
  <c r="X327" i="1"/>
  <c r="Z327" i="1" s="1"/>
  <c r="T327" i="1"/>
  <c r="V327" i="1" s="1"/>
  <c r="R327" i="1"/>
  <c r="Q327" i="1"/>
  <c r="H327" i="1"/>
  <c r="F327" i="1"/>
  <c r="X325" i="1"/>
  <c r="Z325" i="1" s="1"/>
  <c r="T325" i="1"/>
  <c r="V325" i="1" s="1"/>
  <c r="R325" i="1"/>
  <c r="Q325" i="1"/>
  <c r="H325" i="1"/>
  <c r="F325" i="1"/>
  <c r="X324" i="1"/>
  <c r="Z324" i="1" s="1"/>
  <c r="T324" i="1"/>
  <c r="U324" i="1" s="1"/>
  <c r="R324" i="1"/>
  <c r="Q324" i="1"/>
  <c r="H324" i="1"/>
  <c r="F324" i="1"/>
  <c r="X323" i="1"/>
  <c r="Z323" i="1" s="1"/>
  <c r="T323" i="1"/>
  <c r="U323" i="1" s="1"/>
  <c r="R323" i="1"/>
  <c r="Q323" i="1"/>
  <c r="H323" i="1"/>
  <c r="F323" i="1"/>
  <c r="X322" i="1"/>
  <c r="Z322" i="1" s="1"/>
  <c r="T322" i="1"/>
  <c r="V322" i="1" s="1"/>
  <c r="R322" i="1"/>
  <c r="Q322" i="1"/>
  <c r="H322" i="1"/>
  <c r="F322" i="1"/>
  <c r="X321" i="1"/>
  <c r="Z321" i="1" s="1"/>
  <c r="T321" i="1"/>
  <c r="U321" i="1" s="1"/>
  <c r="R321" i="1"/>
  <c r="Q321" i="1"/>
  <c r="H321" i="1"/>
  <c r="F321" i="1"/>
  <c r="X320" i="1"/>
  <c r="Z320" i="1" s="1"/>
  <c r="T320" i="1"/>
  <c r="U320" i="1" s="1"/>
  <c r="R320" i="1"/>
  <c r="Q320" i="1"/>
  <c r="H320" i="1"/>
  <c r="F320" i="1"/>
  <c r="X319" i="1"/>
  <c r="Z319" i="1" s="1"/>
  <c r="T319" i="1"/>
  <c r="V319" i="1" s="1"/>
  <c r="R319" i="1"/>
  <c r="Q319" i="1"/>
  <c r="H319" i="1"/>
  <c r="F319" i="1"/>
  <c r="X318" i="1"/>
  <c r="Y318" i="1" s="1"/>
  <c r="T318" i="1"/>
  <c r="R318" i="1"/>
  <c r="Q318" i="1"/>
  <c r="H318" i="1"/>
  <c r="F318" i="1"/>
  <c r="X316" i="1"/>
  <c r="Y316" i="1" s="1"/>
  <c r="T316" i="1"/>
  <c r="U316" i="1" s="1"/>
  <c r="R316" i="1"/>
  <c r="Q316" i="1"/>
  <c r="H316" i="1"/>
  <c r="F316" i="1"/>
  <c r="X315" i="1"/>
  <c r="Z315" i="1" s="1"/>
  <c r="T315" i="1"/>
  <c r="U315" i="1" s="1"/>
  <c r="R315" i="1"/>
  <c r="Q315" i="1"/>
  <c r="H315" i="1"/>
  <c r="F315" i="1"/>
  <c r="X314" i="1"/>
  <c r="Y314" i="1" s="1"/>
  <c r="T314" i="1"/>
  <c r="U314" i="1" s="1"/>
  <c r="R314" i="1"/>
  <c r="Q314" i="1"/>
  <c r="H314" i="1"/>
  <c r="F314" i="1"/>
  <c r="X313" i="1"/>
  <c r="T313" i="1"/>
  <c r="R313" i="1"/>
  <c r="Q313" i="1"/>
  <c r="H313" i="1"/>
  <c r="F313" i="1"/>
  <c r="X312" i="1"/>
  <c r="Z312" i="1" s="1"/>
  <c r="T312" i="1"/>
  <c r="R312" i="1"/>
  <c r="Q312" i="1"/>
  <c r="H312" i="1"/>
  <c r="F312" i="1"/>
  <c r="Z336" i="1"/>
  <c r="Y336" i="1"/>
  <c r="V336" i="1"/>
  <c r="U336" i="1"/>
  <c r="R336" i="1"/>
  <c r="Q336" i="1"/>
  <c r="H336" i="1"/>
  <c r="F336" i="1"/>
  <c r="Z329" i="1"/>
  <c r="Y329" i="1"/>
  <c r="V329" i="1"/>
  <c r="U329" i="1"/>
  <c r="R329" i="1"/>
  <c r="Q329" i="1"/>
  <c r="H329" i="1"/>
  <c r="F329" i="1"/>
  <c r="Z317" i="1"/>
  <c r="Y317" i="1"/>
  <c r="V317" i="1"/>
  <c r="U317" i="1"/>
  <c r="R317" i="1"/>
  <c r="Q317" i="1"/>
  <c r="H317" i="1"/>
  <c r="F317" i="1"/>
  <c r="Z326" i="1"/>
  <c r="Y326" i="1"/>
  <c r="V326" i="1"/>
  <c r="U326" i="1"/>
  <c r="R326" i="1"/>
  <c r="Q326" i="1"/>
  <c r="H326" i="1"/>
  <c r="F326" i="1"/>
  <c r="X308" i="1"/>
  <c r="T308" i="1"/>
  <c r="V308" i="1" s="1"/>
  <c r="R308" i="1"/>
  <c r="Q308" i="1"/>
  <c r="H308" i="1"/>
  <c r="F308" i="1"/>
  <c r="X307" i="1"/>
  <c r="Z307" i="1" s="1"/>
  <c r="T307" i="1"/>
  <c r="U307" i="1" s="1"/>
  <c r="R307" i="1"/>
  <c r="Q307" i="1"/>
  <c r="H307" i="1"/>
  <c r="F307" i="1"/>
  <c r="X306" i="1"/>
  <c r="Y306" i="1" s="1"/>
  <c r="T306" i="1"/>
  <c r="U306" i="1" s="1"/>
  <c r="R306" i="1"/>
  <c r="Q306" i="1"/>
  <c r="H306" i="1"/>
  <c r="F306" i="1"/>
  <c r="X311" i="1"/>
  <c r="T311" i="1"/>
  <c r="V311" i="1" s="1"/>
  <c r="R311" i="1"/>
  <c r="Q311" i="1"/>
  <c r="H311" i="1"/>
  <c r="F311" i="1"/>
  <c r="X310" i="1"/>
  <c r="Y310" i="1" s="1"/>
  <c r="T310" i="1"/>
  <c r="V310" i="1" s="1"/>
  <c r="R310" i="1"/>
  <c r="Q310" i="1"/>
  <c r="H310" i="1"/>
  <c r="F310" i="1"/>
  <c r="X305" i="1"/>
  <c r="Y305" i="1" s="1"/>
  <c r="T305" i="1"/>
  <c r="U305" i="1" s="1"/>
  <c r="R305" i="1"/>
  <c r="Q305" i="1"/>
  <c r="H305" i="1"/>
  <c r="F305" i="1"/>
  <c r="X304" i="1"/>
  <c r="Z304" i="1" s="1"/>
  <c r="T304" i="1"/>
  <c r="U304" i="1" s="1"/>
  <c r="R304" i="1"/>
  <c r="Q304" i="1"/>
  <c r="H304" i="1"/>
  <c r="F304" i="1"/>
  <c r="X303" i="1"/>
  <c r="Z303" i="1" s="1"/>
  <c r="T303" i="1"/>
  <c r="U303" i="1" s="1"/>
  <c r="R303" i="1"/>
  <c r="Q303" i="1"/>
  <c r="H303" i="1"/>
  <c r="F303" i="1"/>
  <c r="X302" i="1"/>
  <c r="Z302" i="1" s="1"/>
  <c r="T302" i="1"/>
  <c r="R302" i="1"/>
  <c r="Q302" i="1"/>
  <c r="H302" i="1"/>
  <c r="F302" i="1"/>
  <c r="X301" i="1"/>
  <c r="Z301" i="1" s="1"/>
  <c r="T301" i="1"/>
  <c r="V301" i="1" s="1"/>
  <c r="R301" i="1"/>
  <c r="Q301" i="1"/>
  <c r="H301" i="1"/>
  <c r="F301" i="1"/>
  <c r="X309" i="1"/>
  <c r="Y309" i="1" s="1"/>
  <c r="T309" i="1"/>
  <c r="V309" i="1" s="1"/>
  <c r="R309" i="1"/>
  <c r="Q309" i="1"/>
  <c r="H309" i="1"/>
  <c r="F309" i="1"/>
  <c r="X298" i="1"/>
  <c r="Y298" i="1" s="1"/>
  <c r="T298" i="1"/>
  <c r="U298" i="1" s="1"/>
  <c r="R298" i="1"/>
  <c r="Q298" i="1"/>
  <c r="H298" i="1"/>
  <c r="F298" i="1"/>
  <c r="X300" i="1"/>
  <c r="Z300" i="1" s="1"/>
  <c r="T300" i="1"/>
  <c r="U300" i="1" s="1"/>
  <c r="R300" i="1"/>
  <c r="Q300" i="1"/>
  <c r="H300" i="1"/>
  <c r="F300" i="1"/>
  <c r="X297" i="1"/>
  <c r="Z297" i="1" s="1"/>
  <c r="T297" i="1"/>
  <c r="R297" i="1"/>
  <c r="Q297" i="1"/>
  <c r="H297" i="1"/>
  <c r="F297" i="1"/>
  <c r="X296" i="1"/>
  <c r="Z296" i="1" s="1"/>
  <c r="T296" i="1"/>
  <c r="V296" i="1" s="1"/>
  <c r="R296" i="1"/>
  <c r="Q296" i="1"/>
  <c r="H296" i="1"/>
  <c r="F296" i="1"/>
  <c r="X295" i="1"/>
  <c r="Z295" i="1" s="1"/>
  <c r="T295" i="1"/>
  <c r="V295" i="1" s="1"/>
  <c r="R295" i="1"/>
  <c r="Q295" i="1"/>
  <c r="H295" i="1"/>
  <c r="F295" i="1"/>
  <c r="X293" i="1"/>
  <c r="Z293" i="1" s="1"/>
  <c r="T293" i="1"/>
  <c r="U293" i="1" s="1"/>
  <c r="R293" i="1"/>
  <c r="Q293" i="1"/>
  <c r="H293" i="1"/>
  <c r="F293" i="1"/>
  <c r="X292" i="1"/>
  <c r="T292" i="1"/>
  <c r="U292" i="1" s="1"/>
  <c r="R292" i="1"/>
  <c r="Q292" i="1"/>
  <c r="H292" i="1"/>
  <c r="F292" i="1"/>
  <c r="X291" i="1"/>
  <c r="Z291" i="1" s="1"/>
  <c r="T291" i="1"/>
  <c r="R291" i="1"/>
  <c r="Q291" i="1"/>
  <c r="H291" i="1"/>
  <c r="F291" i="1"/>
  <c r="X290" i="1"/>
  <c r="Z290" i="1" s="1"/>
  <c r="T290" i="1"/>
  <c r="U290" i="1" s="1"/>
  <c r="R290" i="1"/>
  <c r="Q290" i="1"/>
  <c r="H290" i="1"/>
  <c r="F290" i="1"/>
  <c r="Z294" i="1"/>
  <c r="Y294" i="1"/>
  <c r="V294" i="1"/>
  <c r="U294" i="1"/>
  <c r="R294" i="1"/>
  <c r="Q294" i="1"/>
  <c r="H294" i="1"/>
  <c r="F294" i="1"/>
  <c r="X287" i="1"/>
  <c r="Z287" i="1" s="1"/>
  <c r="T287" i="1"/>
  <c r="U287" i="1" s="1"/>
  <c r="R287" i="1"/>
  <c r="Q287" i="1"/>
  <c r="H287" i="1"/>
  <c r="F287" i="1"/>
  <c r="X289" i="1"/>
  <c r="Y289" i="1" s="1"/>
  <c r="T289" i="1"/>
  <c r="U289" i="1" s="1"/>
  <c r="R289" i="1"/>
  <c r="Q289" i="1"/>
  <c r="H289" i="1"/>
  <c r="F289" i="1"/>
  <c r="X288" i="1"/>
  <c r="T288" i="1"/>
  <c r="V288" i="1" s="1"/>
  <c r="R288" i="1"/>
  <c r="Q288" i="1"/>
  <c r="H288" i="1"/>
  <c r="F288" i="1"/>
  <c r="X286" i="1"/>
  <c r="Z286" i="1" s="1"/>
  <c r="T286" i="1"/>
  <c r="V286" i="1" s="1"/>
  <c r="R286" i="1"/>
  <c r="Q286" i="1"/>
  <c r="H286" i="1"/>
  <c r="F286" i="1"/>
  <c r="X285" i="1"/>
  <c r="Z285" i="1" s="1"/>
  <c r="T285" i="1"/>
  <c r="V285" i="1" s="1"/>
  <c r="R285" i="1"/>
  <c r="Q285" i="1"/>
  <c r="H285" i="1"/>
  <c r="F285" i="1"/>
  <c r="X284" i="1"/>
  <c r="Z284" i="1" s="1"/>
  <c r="T284" i="1"/>
  <c r="U284" i="1" s="1"/>
  <c r="R284" i="1"/>
  <c r="Q284" i="1"/>
  <c r="H284" i="1"/>
  <c r="F284" i="1"/>
  <c r="X282" i="1"/>
  <c r="Z282" i="1" s="1"/>
  <c r="T282" i="1"/>
  <c r="U282" i="1" s="1"/>
  <c r="R282" i="1"/>
  <c r="Q282" i="1"/>
  <c r="H282" i="1"/>
  <c r="F282" i="1"/>
  <c r="X299" i="1"/>
  <c r="Z299" i="1" s="1"/>
  <c r="T299" i="1"/>
  <c r="U299" i="1" s="1"/>
  <c r="R299" i="1"/>
  <c r="Q299" i="1"/>
  <c r="H299" i="1"/>
  <c r="F299" i="1"/>
  <c r="X281" i="1"/>
  <c r="Z281" i="1" s="1"/>
  <c r="T281" i="1"/>
  <c r="V281" i="1" s="1"/>
  <c r="R281" i="1"/>
  <c r="Q281" i="1"/>
  <c r="H281" i="1"/>
  <c r="F281" i="1"/>
  <c r="X280" i="1"/>
  <c r="Z280" i="1" s="1"/>
  <c r="T280" i="1"/>
  <c r="V280" i="1" s="1"/>
  <c r="R280" i="1"/>
  <c r="Q280" i="1"/>
  <c r="H280" i="1"/>
  <c r="F280" i="1"/>
  <c r="X279" i="1"/>
  <c r="Y279" i="1" s="1"/>
  <c r="T279" i="1"/>
  <c r="U279" i="1" s="1"/>
  <c r="R279" i="1"/>
  <c r="Q279" i="1"/>
  <c r="H279" i="1"/>
  <c r="F279" i="1"/>
  <c r="X278" i="1"/>
  <c r="Z278" i="1" s="1"/>
  <c r="T278" i="1"/>
  <c r="U278" i="1" s="1"/>
  <c r="R278" i="1"/>
  <c r="Q278" i="1"/>
  <c r="H278" i="1"/>
  <c r="F278" i="1"/>
  <c r="X277" i="1"/>
  <c r="Y277" i="1" s="1"/>
  <c r="T277" i="1"/>
  <c r="R277" i="1"/>
  <c r="Q277" i="1"/>
  <c r="H277" i="1"/>
  <c r="F277" i="1"/>
  <c r="X276" i="1"/>
  <c r="Z276" i="1" s="1"/>
  <c r="T276" i="1"/>
  <c r="U276" i="1" s="1"/>
  <c r="R276" i="1"/>
  <c r="Q276" i="1"/>
  <c r="H276" i="1"/>
  <c r="F276" i="1"/>
  <c r="X275" i="1"/>
  <c r="Y275" i="1" s="1"/>
  <c r="T275" i="1"/>
  <c r="V275" i="1" s="1"/>
  <c r="R275" i="1"/>
  <c r="Q275" i="1"/>
  <c r="H275" i="1"/>
  <c r="F275" i="1"/>
  <c r="X274" i="1"/>
  <c r="Y274" i="1" s="1"/>
  <c r="T274" i="1"/>
  <c r="U274" i="1" s="1"/>
  <c r="R274" i="1"/>
  <c r="Q274" i="1"/>
  <c r="H274" i="1"/>
  <c r="F274" i="1"/>
  <c r="X273" i="1"/>
  <c r="T273" i="1"/>
  <c r="R273" i="1"/>
  <c r="Q273" i="1"/>
  <c r="H273" i="1"/>
  <c r="F273" i="1"/>
  <c r="X272" i="1"/>
  <c r="Z272" i="1" s="1"/>
  <c r="T272" i="1"/>
  <c r="R272" i="1"/>
  <c r="Q272" i="1"/>
  <c r="H272" i="1"/>
  <c r="F272" i="1"/>
  <c r="X271" i="1"/>
  <c r="Z271" i="1" s="1"/>
  <c r="T271" i="1"/>
  <c r="V271" i="1" s="1"/>
  <c r="R271" i="1"/>
  <c r="Q271" i="1"/>
  <c r="H271" i="1"/>
  <c r="F271" i="1"/>
  <c r="X270" i="1"/>
  <c r="Y270" i="1" s="1"/>
  <c r="T270" i="1"/>
  <c r="U270" i="1" s="1"/>
  <c r="R270" i="1"/>
  <c r="Q270" i="1"/>
  <c r="H270" i="1"/>
  <c r="F270" i="1"/>
  <c r="Z269" i="1"/>
  <c r="Y269" i="1"/>
  <c r="V269" i="1"/>
  <c r="U269" i="1"/>
  <c r="R269" i="1"/>
  <c r="Q269" i="1"/>
  <c r="H269" i="1"/>
  <c r="F269" i="1"/>
  <c r="X268" i="1"/>
  <c r="Y268" i="1" s="1"/>
  <c r="T268" i="1"/>
  <c r="U268" i="1" s="1"/>
  <c r="R268" i="1"/>
  <c r="Q268" i="1"/>
  <c r="H268" i="1"/>
  <c r="F268" i="1"/>
  <c r="X267" i="1"/>
  <c r="Z267" i="1" s="1"/>
  <c r="T267" i="1"/>
  <c r="V267" i="1" s="1"/>
  <c r="R267" i="1"/>
  <c r="Q267" i="1"/>
  <c r="H267" i="1"/>
  <c r="F267" i="1"/>
  <c r="X266" i="1"/>
  <c r="Z266" i="1" s="1"/>
  <c r="T266" i="1"/>
  <c r="R266" i="1"/>
  <c r="Q266" i="1"/>
  <c r="H266" i="1"/>
  <c r="F266" i="1"/>
  <c r="X265" i="1"/>
  <c r="T265" i="1"/>
  <c r="U265" i="1" s="1"/>
  <c r="R265" i="1"/>
  <c r="Q265" i="1"/>
  <c r="H265" i="1"/>
  <c r="F265" i="1"/>
  <c r="X264" i="1"/>
  <c r="Z264" i="1" s="1"/>
  <c r="T264" i="1"/>
  <c r="R264" i="1"/>
  <c r="Q264" i="1"/>
  <c r="H264" i="1"/>
  <c r="F264" i="1"/>
  <c r="X263" i="1"/>
  <c r="Y263" i="1" s="1"/>
  <c r="T263" i="1"/>
  <c r="V263" i="1" s="1"/>
  <c r="R263" i="1"/>
  <c r="Q263" i="1"/>
  <c r="H263" i="1"/>
  <c r="F263" i="1"/>
  <c r="X262" i="1"/>
  <c r="T262" i="1"/>
  <c r="U262" i="1" s="1"/>
  <c r="R262" i="1"/>
  <c r="Q262" i="1"/>
  <c r="H262" i="1"/>
  <c r="F262" i="1"/>
  <c r="X261" i="1"/>
  <c r="Z261" i="1" s="1"/>
  <c r="T261" i="1"/>
  <c r="V261" i="1" s="1"/>
  <c r="R261" i="1"/>
  <c r="Q261" i="1"/>
  <c r="H261" i="1"/>
  <c r="F261" i="1"/>
  <c r="X260" i="1"/>
  <c r="Z260" i="1" s="1"/>
  <c r="T260" i="1"/>
  <c r="V260" i="1" s="1"/>
  <c r="R260" i="1"/>
  <c r="Q260" i="1"/>
  <c r="H260" i="1"/>
  <c r="F260" i="1"/>
  <c r="X259" i="1"/>
  <c r="Y259" i="1" s="1"/>
  <c r="T259" i="1"/>
  <c r="U259" i="1" s="1"/>
  <c r="R259" i="1"/>
  <c r="Q259" i="1"/>
  <c r="H259" i="1"/>
  <c r="F259" i="1"/>
  <c r="X258" i="1"/>
  <c r="Z258" i="1" s="1"/>
  <c r="T258" i="1"/>
  <c r="R258" i="1"/>
  <c r="Q258" i="1"/>
  <c r="H258" i="1"/>
  <c r="F258" i="1"/>
  <c r="X257" i="1"/>
  <c r="Z257" i="1" s="1"/>
  <c r="T257" i="1"/>
  <c r="V257" i="1" s="1"/>
  <c r="R257" i="1"/>
  <c r="Q257" i="1"/>
  <c r="H257" i="1"/>
  <c r="F257" i="1"/>
  <c r="X256" i="1"/>
  <c r="T256" i="1"/>
  <c r="U256" i="1" s="1"/>
  <c r="R256" i="1"/>
  <c r="Q256" i="1"/>
  <c r="H256" i="1"/>
  <c r="F256" i="1"/>
  <c r="X251" i="1"/>
  <c r="Z251" i="1" s="1"/>
  <c r="T251" i="1"/>
  <c r="V251" i="1" s="1"/>
  <c r="R251" i="1"/>
  <c r="Q251" i="1"/>
  <c r="H251" i="1"/>
  <c r="F251" i="1"/>
  <c r="X250" i="1"/>
  <c r="Z250" i="1" s="1"/>
  <c r="T250" i="1"/>
  <c r="U250" i="1" s="1"/>
  <c r="R250" i="1"/>
  <c r="Q250" i="1"/>
  <c r="H250" i="1"/>
  <c r="F250" i="1"/>
  <c r="X255" i="1"/>
  <c r="Y255" i="1" s="1"/>
  <c r="T255" i="1"/>
  <c r="U255" i="1" s="1"/>
  <c r="R255" i="1"/>
  <c r="Q255" i="1"/>
  <c r="H255" i="1"/>
  <c r="F255" i="1"/>
  <c r="X254" i="1"/>
  <c r="Z254" i="1" s="1"/>
  <c r="T254" i="1"/>
  <c r="R254" i="1"/>
  <c r="Q254" i="1"/>
  <c r="H254" i="1"/>
  <c r="F254" i="1"/>
  <c r="X253" i="1"/>
  <c r="Y253" i="1" s="1"/>
  <c r="T253" i="1"/>
  <c r="U253" i="1" s="1"/>
  <c r="R253" i="1"/>
  <c r="Q253" i="1"/>
  <c r="H253" i="1"/>
  <c r="F253" i="1"/>
  <c r="X252" i="1"/>
  <c r="T252" i="1"/>
  <c r="U252" i="1" s="1"/>
  <c r="R252" i="1"/>
  <c r="Q252" i="1"/>
  <c r="H252" i="1"/>
  <c r="F252" i="1"/>
  <c r="X249" i="1"/>
  <c r="Z249" i="1" s="1"/>
  <c r="T249" i="1"/>
  <c r="V249" i="1" s="1"/>
  <c r="R249" i="1"/>
  <c r="Q249" i="1"/>
  <c r="H249" i="1"/>
  <c r="F249" i="1"/>
  <c r="X248" i="1"/>
  <c r="Z248" i="1" s="1"/>
  <c r="T248" i="1"/>
  <c r="U248" i="1" s="1"/>
  <c r="R248" i="1"/>
  <c r="Q248" i="1"/>
  <c r="H248" i="1"/>
  <c r="F248" i="1"/>
  <c r="X247" i="1"/>
  <c r="Y247" i="1" s="1"/>
  <c r="T247" i="1"/>
  <c r="U247" i="1" s="1"/>
  <c r="R247" i="1"/>
  <c r="Q247" i="1"/>
  <c r="H247" i="1"/>
  <c r="F247" i="1"/>
  <c r="X246" i="1"/>
  <c r="Z246" i="1" s="1"/>
  <c r="T246" i="1"/>
  <c r="R246" i="1"/>
  <c r="Q246" i="1"/>
  <c r="H246" i="1"/>
  <c r="F246" i="1"/>
  <c r="X245" i="1"/>
  <c r="Z245" i="1" s="1"/>
  <c r="T245" i="1"/>
  <c r="U245" i="1" s="1"/>
  <c r="R245" i="1"/>
  <c r="Q245" i="1"/>
  <c r="H245" i="1"/>
  <c r="F245" i="1"/>
  <c r="X244" i="1"/>
  <c r="T244" i="1"/>
  <c r="U244" i="1" s="1"/>
  <c r="R244" i="1"/>
  <c r="Q244" i="1"/>
  <c r="H244" i="1"/>
  <c r="F244" i="1"/>
  <c r="X243" i="1"/>
  <c r="Z243" i="1" s="1"/>
  <c r="T243" i="1"/>
  <c r="V243" i="1" s="1"/>
  <c r="R243" i="1"/>
  <c r="Q243" i="1"/>
  <c r="H243" i="1"/>
  <c r="F243" i="1"/>
  <c r="X241" i="1"/>
  <c r="Y241" i="1" s="1"/>
  <c r="T241" i="1"/>
  <c r="V241" i="1" s="1"/>
  <c r="R241" i="1"/>
  <c r="Q241" i="1"/>
  <c r="H241" i="1"/>
  <c r="F241" i="1"/>
  <c r="X242" i="1"/>
  <c r="Y242" i="1" s="1"/>
  <c r="T242" i="1"/>
  <c r="U242" i="1" s="1"/>
  <c r="R242" i="1"/>
  <c r="Q242" i="1"/>
  <c r="H242" i="1"/>
  <c r="F242" i="1"/>
  <c r="X237" i="1"/>
  <c r="Z237" i="1" s="1"/>
  <c r="T237" i="1"/>
  <c r="R237" i="1"/>
  <c r="Q237" i="1"/>
  <c r="H237" i="1"/>
  <c r="F237" i="1"/>
  <c r="Z240" i="1"/>
  <c r="Y240" i="1"/>
  <c r="V240" i="1"/>
  <c r="U240" i="1"/>
  <c r="R240" i="1"/>
  <c r="Q240" i="1"/>
  <c r="H240" i="1"/>
  <c r="F240" i="1"/>
  <c r="X239" i="1"/>
  <c r="Z239" i="1" s="1"/>
  <c r="T239" i="1"/>
  <c r="V239" i="1" s="1"/>
  <c r="R239" i="1"/>
  <c r="Q239" i="1"/>
  <c r="H239" i="1"/>
  <c r="F239" i="1"/>
  <c r="X238" i="1"/>
  <c r="Z238" i="1" s="1"/>
  <c r="T238" i="1"/>
  <c r="V238" i="1" s="1"/>
  <c r="R238" i="1"/>
  <c r="Q238" i="1"/>
  <c r="H238" i="1"/>
  <c r="F238" i="1"/>
  <c r="X236" i="1"/>
  <c r="Y236" i="1" s="1"/>
  <c r="T236" i="1"/>
  <c r="U236" i="1" s="1"/>
  <c r="R236" i="1"/>
  <c r="Q236" i="1"/>
  <c r="H236" i="1"/>
  <c r="F236" i="1"/>
  <c r="X235" i="1"/>
  <c r="Z235" i="1" s="1"/>
  <c r="T235" i="1"/>
  <c r="R235" i="1"/>
  <c r="Q235" i="1"/>
  <c r="H235" i="1"/>
  <c r="F235" i="1"/>
  <c r="X232" i="1"/>
  <c r="Y232" i="1" s="1"/>
  <c r="T232" i="1"/>
  <c r="V232" i="1" s="1"/>
  <c r="R232" i="1"/>
  <c r="Q232" i="1"/>
  <c r="H232" i="1"/>
  <c r="F232" i="1"/>
  <c r="X233" i="1"/>
  <c r="T233" i="1"/>
  <c r="U233" i="1" s="1"/>
  <c r="R233" i="1"/>
  <c r="Q233" i="1"/>
  <c r="H233" i="1"/>
  <c r="F233" i="1"/>
  <c r="Z234" i="1"/>
  <c r="Y234" i="1"/>
  <c r="V234" i="1"/>
  <c r="U234" i="1"/>
  <c r="R234" i="1"/>
  <c r="Q234" i="1"/>
  <c r="H234" i="1"/>
  <c r="F234" i="1"/>
  <c r="Z226" i="1"/>
  <c r="Y226" i="1"/>
  <c r="V226" i="1"/>
  <c r="U226" i="1"/>
  <c r="R226" i="1"/>
  <c r="Q226" i="1"/>
  <c r="H226" i="1"/>
  <c r="F226" i="1"/>
  <c r="H225" i="1"/>
  <c r="F225" i="1"/>
  <c r="X231" i="1"/>
  <c r="Z231" i="1" s="1"/>
  <c r="T231" i="1"/>
  <c r="R231" i="1"/>
  <c r="Q231" i="1"/>
  <c r="H231" i="1"/>
  <c r="F231" i="1"/>
  <c r="X230" i="1"/>
  <c r="Z230" i="1" s="1"/>
  <c r="T230" i="1"/>
  <c r="V230" i="1" s="1"/>
  <c r="R230" i="1"/>
  <c r="Q230" i="1"/>
  <c r="H230" i="1"/>
  <c r="F230" i="1"/>
  <c r="X229" i="1"/>
  <c r="T229" i="1"/>
  <c r="U229" i="1" s="1"/>
  <c r="R229" i="1"/>
  <c r="Q229" i="1"/>
  <c r="H229" i="1"/>
  <c r="F229" i="1"/>
  <c r="X228" i="1"/>
  <c r="Z228" i="1" s="1"/>
  <c r="T228" i="1"/>
  <c r="V228" i="1" s="1"/>
  <c r="R228" i="1"/>
  <c r="Q228" i="1"/>
  <c r="H228" i="1"/>
  <c r="F228" i="1"/>
  <c r="X227" i="1"/>
  <c r="Z227" i="1" s="1"/>
  <c r="T227" i="1"/>
  <c r="V227" i="1" s="1"/>
  <c r="R227" i="1"/>
  <c r="Q227" i="1"/>
  <c r="H227" i="1"/>
  <c r="F227" i="1"/>
  <c r="Z219" i="1"/>
  <c r="Y219" i="1"/>
  <c r="V219" i="1"/>
  <c r="U219" i="1"/>
  <c r="R219" i="1"/>
  <c r="Q219" i="1"/>
  <c r="H219" i="1"/>
  <c r="F219" i="1"/>
  <c r="Z224" i="1"/>
  <c r="Y224" i="1"/>
  <c r="V224" i="1"/>
  <c r="U224" i="1"/>
  <c r="R224" i="1"/>
  <c r="Q224" i="1"/>
  <c r="H224" i="1"/>
  <c r="F224" i="1"/>
  <c r="X223" i="1"/>
  <c r="Z223" i="1" s="1"/>
  <c r="T223" i="1"/>
  <c r="V223" i="1" s="1"/>
  <c r="R223" i="1"/>
  <c r="Q223" i="1"/>
  <c r="H223" i="1"/>
  <c r="F223" i="1"/>
  <c r="X222" i="1"/>
  <c r="Y222" i="1" s="1"/>
  <c r="T222" i="1"/>
  <c r="V222" i="1" s="1"/>
  <c r="R222" i="1"/>
  <c r="Q222" i="1"/>
  <c r="H222" i="1"/>
  <c r="F222" i="1"/>
  <c r="X221" i="1"/>
  <c r="Y221" i="1" s="1"/>
  <c r="T221" i="1"/>
  <c r="U221" i="1" s="1"/>
  <c r="R221" i="1"/>
  <c r="Q221" i="1"/>
  <c r="H221" i="1"/>
  <c r="F221" i="1"/>
  <c r="Z220" i="1"/>
  <c r="Y220" i="1"/>
  <c r="V220" i="1"/>
  <c r="U220" i="1"/>
  <c r="R220" i="1"/>
  <c r="Q220" i="1"/>
  <c r="H220" i="1"/>
  <c r="F220" i="1"/>
  <c r="X519" i="1"/>
  <c r="T519" i="1"/>
  <c r="U519" i="1" s="1"/>
  <c r="R519" i="1"/>
  <c r="Q519" i="1"/>
  <c r="H519" i="1"/>
  <c r="F519" i="1"/>
  <c r="Z218" i="1"/>
  <c r="Y218" i="1"/>
  <c r="V218" i="1"/>
  <c r="U218" i="1"/>
  <c r="R218" i="1"/>
  <c r="Q218" i="1"/>
  <c r="H218" i="1"/>
  <c r="F218" i="1"/>
  <c r="X217" i="1"/>
  <c r="Y217" i="1" s="1"/>
  <c r="T217" i="1"/>
  <c r="U217" i="1" s="1"/>
  <c r="R217" i="1"/>
  <c r="Q217" i="1"/>
  <c r="H217" i="1"/>
  <c r="F217" i="1"/>
  <c r="X216" i="1"/>
  <c r="Z216" i="1" s="1"/>
  <c r="T216" i="1"/>
  <c r="V216" i="1" s="1"/>
  <c r="R216" i="1"/>
  <c r="Q216" i="1"/>
  <c r="H216" i="1"/>
  <c r="F216" i="1"/>
  <c r="X215" i="1"/>
  <c r="Y215" i="1" s="1"/>
  <c r="T215" i="1"/>
  <c r="U215" i="1" s="1"/>
  <c r="R215" i="1"/>
  <c r="Q215" i="1"/>
  <c r="H215" i="1"/>
  <c r="F215" i="1"/>
  <c r="X214" i="1"/>
  <c r="T214" i="1"/>
  <c r="U214" i="1" s="1"/>
  <c r="R214" i="1"/>
  <c r="Q214" i="1"/>
  <c r="H214" i="1"/>
  <c r="F214" i="1"/>
  <c r="X213" i="1"/>
  <c r="Z213" i="1" s="1"/>
  <c r="T213" i="1"/>
  <c r="V213" i="1" s="1"/>
  <c r="R213" i="1"/>
  <c r="Q213" i="1"/>
  <c r="H213" i="1"/>
  <c r="F213" i="1"/>
  <c r="X210" i="1"/>
  <c r="Z210" i="1" s="1"/>
  <c r="T210" i="1"/>
  <c r="V210" i="1" s="1"/>
  <c r="R210" i="1"/>
  <c r="Q210" i="1"/>
  <c r="H210" i="1"/>
  <c r="F210" i="1"/>
  <c r="Z209" i="1"/>
  <c r="Y209" i="1"/>
  <c r="V209" i="1"/>
  <c r="U209" i="1"/>
  <c r="R209" i="1"/>
  <c r="Q209" i="1"/>
  <c r="H209" i="1"/>
  <c r="F209" i="1"/>
  <c r="X208" i="1"/>
  <c r="Z208" i="1" s="1"/>
  <c r="T208" i="1"/>
  <c r="U208" i="1" s="1"/>
  <c r="R208" i="1"/>
  <c r="Q208" i="1"/>
  <c r="H208" i="1"/>
  <c r="F208" i="1"/>
  <c r="X207" i="1"/>
  <c r="T207" i="1"/>
  <c r="U207" i="1" s="1"/>
  <c r="R207" i="1"/>
  <c r="Q207" i="1"/>
  <c r="H207" i="1"/>
  <c r="F207" i="1"/>
  <c r="X206" i="1"/>
  <c r="Z206" i="1" s="1"/>
  <c r="T206" i="1"/>
  <c r="V206" i="1" s="1"/>
  <c r="R206" i="1"/>
  <c r="Q206" i="1"/>
  <c r="H206" i="1"/>
  <c r="F206" i="1"/>
  <c r="X205" i="1"/>
  <c r="Z205" i="1" s="1"/>
  <c r="T205" i="1"/>
  <c r="U205" i="1" s="1"/>
  <c r="R205" i="1"/>
  <c r="Q205" i="1"/>
  <c r="H205" i="1"/>
  <c r="F205" i="1"/>
  <c r="X204" i="1"/>
  <c r="Y204" i="1" s="1"/>
  <c r="T204" i="1"/>
  <c r="U204" i="1" s="1"/>
  <c r="R204" i="1"/>
  <c r="Q204" i="1"/>
  <c r="H204" i="1"/>
  <c r="F204" i="1"/>
  <c r="X203" i="1"/>
  <c r="Z203" i="1" s="1"/>
  <c r="T203" i="1"/>
  <c r="V203" i="1" s="1"/>
  <c r="R203" i="1"/>
  <c r="Q203" i="1"/>
  <c r="H203" i="1"/>
  <c r="F203" i="1"/>
  <c r="X202" i="1"/>
  <c r="Z202" i="1" s="1"/>
  <c r="T202" i="1"/>
  <c r="U202" i="1" s="1"/>
  <c r="R202" i="1"/>
  <c r="Q202" i="1"/>
  <c r="H202" i="1"/>
  <c r="F202" i="1"/>
  <c r="X201" i="1"/>
  <c r="T201" i="1"/>
  <c r="U201" i="1" s="1"/>
  <c r="R201" i="1"/>
  <c r="Q201" i="1"/>
  <c r="H201" i="1"/>
  <c r="F201" i="1"/>
  <c r="X211" i="1"/>
  <c r="Z211" i="1" s="1"/>
  <c r="T211" i="1"/>
  <c r="V211" i="1" s="1"/>
  <c r="R211" i="1"/>
  <c r="Q211" i="1"/>
  <c r="H211" i="1"/>
  <c r="F211" i="1"/>
  <c r="X200" i="1"/>
  <c r="Z200" i="1" s="1"/>
  <c r="T200" i="1"/>
  <c r="U200" i="1" s="1"/>
  <c r="R200" i="1"/>
  <c r="Q200" i="1"/>
  <c r="H200" i="1"/>
  <c r="F200" i="1"/>
  <c r="X196" i="1"/>
  <c r="Y196" i="1" s="1"/>
  <c r="T196" i="1"/>
  <c r="U196" i="1" s="1"/>
  <c r="R196" i="1"/>
  <c r="Q196" i="1"/>
  <c r="H196" i="1"/>
  <c r="F196" i="1"/>
  <c r="X197" i="1"/>
  <c r="Z197" i="1" s="1"/>
  <c r="T197" i="1"/>
  <c r="V197" i="1" s="1"/>
  <c r="R197" i="1"/>
  <c r="Q197" i="1"/>
  <c r="H197" i="1"/>
  <c r="F197" i="1"/>
  <c r="X199" i="1"/>
  <c r="Z199" i="1" s="1"/>
  <c r="T199" i="1"/>
  <c r="U199" i="1" s="1"/>
  <c r="R199" i="1"/>
  <c r="Q199" i="1"/>
  <c r="H199" i="1"/>
  <c r="F199" i="1"/>
  <c r="X212" i="1"/>
  <c r="T212" i="1"/>
  <c r="U212" i="1" s="1"/>
  <c r="R212" i="1"/>
  <c r="Q212" i="1"/>
  <c r="H212" i="1"/>
  <c r="F212" i="1"/>
  <c r="X198" i="1"/>
  <c r="Z198" i="1" s="1"/>
  <c r="T198" i="1"/>
  <c r="V198" i="1" s="1"/>
  <c r="R198" i="1"/>
  <c r="Q198" i="1"/>
  <c r="H198" i="1"/>
  <c r="F198" i="1"/>
  <c r="X194" i="1"/>
  <c r="Y194" i="1" s="1"/>
  <c r="T194" i="1"/>
  <c r="V194" i="1" s="1"/>
  <c r="R194" i="1"/>
  <c r="Q194" i="1"/>
  <c r="H194" i="1"/>
  <c r="F194" i="1"/>
  <c r="X195" i="1"/>
  <c r="Y195" i="1" s="1"/>
  <c r="T195" i="1"/>
  <c r="U195" i="1" s="1"/>
  <c r="R195" i="1"/>
  <c r="Q195" i="1"/>
  <c r="H195" i="1"/>
  <c r="F195" i="1"/>
  <c r="X191" i="1"/>
  <c r="Z191" i="1" s="1"/>
  <c r="T191" i="1"/>
  <c r="V191" i="1" s="1"/>
  <c r="R191" i="1"/>
  <c r="Q191" i="1"/>
  <c r="H191" i="1"/>
  <c r="F191" i="1"/>
  <c r="X193" i="1"/>
  <c r="Z193" i="1" s="1"/>
  <c r="T193" i="1"/>
  <c r="V193" i="1" s="1"/>
  <c r="R193" i="1"/>
  <c r="Q193" i="1"/>
  <c r="H193" i="1"/>
  <c r="F193" i="1"/>
  <c r="X192" i="1"/>
  <c r="T192" i="1"/>
  <c r="U192" i="1" s="1"/>
  <c r="R192" i="1"/>
  <c r="Q192" i="1"/>
  <c r="H192" i="1"/>
  <c r="F192" i="1"/>
  <c r="X190" i="1"/>
  <c r="Z190" i="1" s="1"/>
  <c r="T190" i="1"/>
  <c r="V190" i="1" s="1"/>
  <c r="R190" i="1"/>
  <c r="Q190" i="1"/>
  <c r="H190" i="1"/>
  <c r="F190" i="1"/>
  <c r="X188" i="1"/>
  <c r="Z188" i="1" s="1"/>
  <c r="T188" i="1"/>
  <c r="V188" i="1" s="1"/>
  <c r="R188" i="1"/>
  <c r="Q188" i="1"/>
  <c r="H188" i="1"/>
  <c r="F188" i="1"/>
  <c r="Z187" i="1"/>
  <c r="Y187" i="1"/>
  <c r="V187" i="1"/>
  <c r="U187" i="1"/>
  <c r="R187" i="1"/>
  <c r="Q187" i="1"/>
  <c r="H187" i="1"/>
  <c r="F187" i="1"/>
  <c r="X189" i="1"/>
  <c r="Z189" i="1" s="1"/>
  <c r="T189" i="1"/>
  <c r="U189" i="1" s="1"/>
  <c r="R189" i="1"/>
  <c r="Q189" i="1"/>
  <c r="H189" i="1"/>
  <c r="F189" i="1"/>
  <c r="X186" i="1"/>
  <c r="T186" i="1"/>
  <c r="U186" i="1" s="1"/>
  <c r="R186" i="1"/>
  <c r="Q186" i="1"/>
  <c r="H186" i="1"/>
  <c r="F186" i="1"/>
  <c r="X185" i="1"/>
  <c r="Z185" i="1" s="1"/>
  <c r="T185" i="1"/>
  <c r="V185" i="1" s="1"/>
  <c r="R185" i="1"/>
  <c r="Q185" i="1"/>
  <c r="H185" i="1"/>
  <c r="F185" i="1"/>
  <c r="X184" i="1"/>
  <c r="Z184" i="1" s="1"/>
  <c r="T184" i="1"/>
  <c r="U184" i="1" s="1"/>
  <c r="R184" i="1"/>
  <c r="Q184" i="1"/>
  <c r="H184" i="1"/>
  <c r="F184" i="1"/>
  <c r="Z183" i="1"/>
  <c r="Y183" i="1"/>
  <c r="V183" i="1"/>
  <c r="U183" i="1"/>
  <c r="R183" i="1"/>
  <c r="Q183" i="1"/>
  <c r="H183" i="1"/>
  <c r="F183" i="1"/>
  <c r="Z182" i="1"/>
  <c r="Y182" i="1"/>
  <c r="V182" i="1"/>
  <c r="U182" i="1"/>
  <c r="R182" i="1"/>
  <c r="Q182" i="1"/>
  <c r="H182" i="1"/>
  <c r="F182" i="1"/>
  <c r="Z181" i="1"/>
  <c r="Y181" i="1"/>
  <c r="V181" i="1"/>
  <c r="U181" i="1"/>
  <c r="R181" i="1"/>
  <c r="Q181" i="1"/>
  <c r="H181" i="1"/>
  <c r="F181" i="1"/>
  <c r="Z180" i="1"/>
  <c r="Y180" i="1"/>
  <c r="V180" i="1"/>
  <c r="U180" i="1"/>
  <c r="R180" i="1"/>
  <c r="Q180" i="1"/>
  <c r="H180" i="1"/>
  <c r="F180" i="1"/>
  <c r="R179" i="1"/>
  <c r="Q179" i="1"/>
  <c r="H179" i="1"/>
  <c r="F179" i="1"/>
  <c r="X178" i="1"/>
  <c r="Z178" i="1" s="1"/>
  <c r="T178" i="1"/>
  <c r="U178" i="1" s="1"/>
  <c r="R178" i="1"/>
  <c r="Q178" i="1"/>
  <c r="H178" i="1"/>
  <c r="F178" i="1"/>
  <c r="Z177" i="1"/>
  <c r="Y177" i="1"/>
  <c r="V177" i="1"/>
  <c r="U177" i="1"/>
  <c r="R177" i="1"/>
  <c r="Q177" i="1"/>
  <c r="H177" i="1"/>
  <c r="F177" i="1"/>
  <c r="Z176" i="1"/>
  <c r="Y176" i="1"/>
  <c r="V176" i="1"/>
  <c r="U176" i="1"/>
  <c r="R176" i="1"/>
  <c r="Q176" i="1"/>
  <c r="H176" i="1"/>
  <c r="F176" i="1"/>
  <c r="Z175" i="1"/>
  <c r="Y175" i="1"/>
  <c r="V175" i="1"/>
  <c r="U175" i="1"/>
  <c r="R175" i="1"/>
  <c r="Q175" i="1"/>
  <c r="H175" i="1"/>
  <c r="F175" i="1"/>
  <c r="Z173" i="1"/>
  <c r="Y173" i="1"/>
  <c r="V173" i="1"/>
  <c r="U173" i="1"/>
  <c r="R173" i="1"/>
  <c r="Q173" i="1"/>
  <c r="H173" i="1"/>
  <c r="F173" i="1"/>
  <c r="Z171" i="1"/>
  <c r="Y171" i="1"/>
  <c r="V171" i="1"/>
  <c r="U171" i="1"/>
  <c r="R171" i="1"/>
  <c r="Q171" i="1"/>
  <c r="H171" i="1"/>
  <c r="F171" i="1"/>
  <c r="Z170" i="1"/>
  <c r="Y170" i="1"/>
  <c r="V170" i="1"/>
  <c r="U170" i="1"/>
  <c r="R170" i="1"/>
  <c r="Q170" i="1"/>
  <c r="H170" i="1"/>
  <c r="F170" i="1"/>
  <c r="X174" i="1"/>
  <c r="Z174" i="1" s="1"/>
  <c r="T174" i="1"/>
  <c r="V174" i="1" s="1"/>
  <c r="R174" i="1"/>
  <c r="Q174" i="1"/>
  <c r="H174" i="1"/>
  <c r="F174" i="1"/>
  <c r="X172" i="1"/>
  <c r="Z172" i="1" s="1"/>
  <c r="T172" i="1"/>
  <c r="V172" i="1" s="1"/>
  <c r="R172" i="1"/>
  <c r="Q172" i="1"/>
  <c r="H172" i="1"/>
  <c r="F172" i="1"/>
  <c r="X169" i="1"/>
  <c r="T169" i="1"/>
  <c r="U169" i="1" s="1"/>
  <c r="R169" i="1"/>
  <c r="Q169" i="1"/>
  <c r="H169" i="1"/>
  <c r="F169" i="1"/>
  <c r="X168" i="1"/>
  <c r="Z168" i="1" s="1"/>
  <c r="T168" i="1"/>
  <c r="V168" i="1" s="1"/>
  <c r="R168" i="1"/>
  <c r="Q168" i="1"/>
  <c r="H168" i="1"/>
  <c r="F168" i="1"/>
  <c r="X167" i="1"/>
  <c r="Z167" i="1" s="1"/>
  <c r="T167" i="1"/>
  <c r="V167" i="1" s="1"/>
  <c r="R167" i="1"/>
  <c r="Q167" i="1"/>
  <c r="H167" i="1"/>
  <c r="F167" i="1"/>
  <c r="Z166" i="1"/>
  <c r="Y166" i="1"/>
  <c r="V166" i="1"/>
  <c r="U166" i="1"/>
  <c r="R166" i="1"/>
  <c r="Q166" i="1"/>
  <c r="H166" i="1"/>
  <c r="F166" i="1"/>
  <c r="Z165" i="1"/>
  <c r="Y165" i="1"/>
  <c r="V165" i="1"/>
  <c r="U165" i="1"/>
  <c r="R165" i="1"/>
  <c r="Q165" i="1"/>
  <c r="H165" i="1"/>
  <c r="F165" i="1"/>
  <c r="X164" i="1"/>
  <c r="Z164" i="1" s="1"/>
  <c r="T164" i="1"/>
  <c r="V164" i="1" s="1"/>
  <c r="R164" i="1"/>
  <c r="Q164" i="1"/>
  <c r="H164" i="1"/>
  <c r="F164" i="1"/>
  <c r="X163" i="1"/>
  <c r="Z163" i="1" s="1"/>
  <c r="T163" i="1"/>
  <c r="V163" i="1" s="1"/>
  <c r="R163" i="1"/>
  <c r="Q163" i="1"/>
  <c r="H163" i="1"/>
  <c r="F163" i="1"/>
  <c r="Z162" i="1"/>
  <c r="Y162" i="1"/>
  <c r="V162" i="1"/>
  <c r="U162" i="1"/>
  <c r="R162" i="1"/>
  <c r="Q162" i="1"/>
  <c r="H162" i="1"/>
  <c r="F162" i="1"/>
  <c r="Z161" i="1"/>
  <c r="Y161" i="1"/>
  <c r="V161" i="1"/>
  <c r="U161" i="1"/>
  <c r="R161" i="1"/>
  <c r="Q161" i="1"/>
  <c r="H161" i="1"/>
  <c r="F161" i="1"/>
  <c r="Z160" i="1"/>
  <c r="Y160" i="1"/>
  <c r="V160" i="1"/>
  <c r="U160" i="1"/>
  <c r="R160" i="1"/>
  <c r="Q160" i="1"/>
  <c r="H160" i="1"/>
  <c r="F160" i="1"/>
  <c r="Z159" i="1"/>
  <c r="Y159" i="1"/>
  <c r="V159" i="1"/>
  <c r="U159" i="1"/>
  <c r="R159" i="1"/>
  <c r="Q159" i="1"/>
  <c r="H159" i="1"/>
  <c r="F159" i="1"/>
  <c r="Z157" i="1"/>
  <c r="Y157" i="1"/>
  <c r="V157" i="1"/>
  <c r="U157" i="1"/>
  <c r="R157" i="1"/>
  <c r="Q157" i="1"/>
  <c r="H157" i="1"/>
  <c r="F157" i="1"/>
  <c r="Z156" i="1"/>
  <c r="Y156" i="1"/>
  <c r="V156" i="1"/>
  <c r="U156" i="1"/>
  <c r="R156" i="1"/>
  <c r="Q156" i="1"/>
  <c r="H156" i="1"/>
  <c r="F156" i="1"/>
  <c r="Z155" i="1"/>
  <c r="Y155" i="1"/>
  <c r="V155" i="1"/>
  <c r="U155" i="1"/>
  <c r="R155" i="1"/>
  <c r="Q155" i="1"/>
  <c r="H155" i="1"/>
  <c r="F155" i="1"/>
  <c r="X158" i="1"/>
  <c r="Z158" i="1" s="1"/>
  <c r="T158" i="1"/>
  <c r="V158" i="1" s="1"/>
  <c r="R158" i="1"/>
  <c r="Q158" i="1"/>
  <c r="H158" i="1"/>
  <c r="F158" i="1"/>
  <c r="X154" i="1"/>
  <c r="T154" i="1"/>
  <c r="U154" i="1" s="1"/>
  <c r="R154" i="1"/>
  <c r="Q154" i="1"/>
  <c r="H154" i="1"/>
  <c r="F154" i="1"/>
  <c r="X153" i="1"/>
  <c r="Z153" i="1" s="1"/>
  <c r="T153" i="1"/>
  <c r="V153" i="1" s="1"/>
  <c r="R153" i="1"/>
  <c r="Q153" i="1"/>
  <c r="H153" i="1"/>
  <c r="F153" i="1"/>
  <c r="Z152" i="1"/>
  <c r="Y152" i="1"/>
  <c r="V152" i="1"/>
  <c r="U152" i="1"/>
  <c r="R152" i="1"/>
  <c r="Q152" i="1"/>
  <c r="H152" i="1"/>
  <c r="F152" i="1"/>
  <c r="Z151" i="1"/>
  <c r="Y151" i="1"/>
  <c r="V151" i="1"/>
  <c r="U151" i="1"/>
  <c r="R151" i="1"/>
  <c r="Q151" i="1"/>
  <c r="H151" i="1"/>
  <c r="F151" i="1"/>
  <c r="Z150" i="1"/>
  <c r="Y150" i="1"/>
  <c r="V150" i="1"/>
  <c r="U150" i="1"/>
  <c r="R150" i="1"/>
  <c r="Q150" i="1"/>
  <c r="H150" i="1"/>
  <c r="F150" i="1"/>
  <c r="X149" i="1"/>
  <c r="Z149" i="1" s="1"/>
  <c r="T149" i="1"/>
  <c r="U149" i="1" s="1"/>
  <c r="R149" i="1"/>
  <c r="Q149" i="1"/>
  <c r="H149" i="1"/>
  <c r="F149" i="1"/>
  <c r="Z148" i="1"/>
  <c r="Y148" i="1"/>
  <c r="V148" i="1"/>
  <c r="U148" i="1"/>
  <c r="R148" i="1"/>
  <c r="Q148" i="1"/>
  <c r="H148" i="1"/>
  <c r="F148" i="1"/>
  <c r="Z147" i="1"/>
  <c r="Y147" i="1"/>
  <c r="V147" i="1"/>
  <c r="U147" i="1"/>
  <c r="R147" i="1"/>
  <c r="Q147" i="1"/>
  <c r="H147" i="1"/>
  <c r="F147" i="1"/>
  <c r="X146" i="1"/>
  <c r="Z146" i="1" s="1"/>
  <c r="T146" i="1"/>
  <c r="V146" i="1" s="1"/>
  <c r="R146" i="1"/>
  <c r="Q146" i="1"/>
  <c r="H146" i="1"/>
  <c r="F146" i="1"/>
  <c r="X145" i="1"/>
  <c r="Z145" i="1" s="1"/>
  <c r="T145" i="1"/>
  <c r="V145" i="1" s="1"/>
  <c r="R145" i="1"/>
  <c r="Q145" i="1"/>
  <c r="H145" i="1"/>
  <c r="F145" i="1"/>
  <c r="X144" i="1"/>
  <c r="Z144" i="1" s="1"/>
  <c r="T144" i="1"/>
  <c r="U144" i="1" s="1"/>
  <c r="R144" i="1"/>
  <c r="Q144" i="1"/>
  <c r="H144" i="1"/>
  <c r="F144" i="1"/>
  <c r="Z143" i="1"/>
  <c r="Y143" i="1"/>
  <c r="V143" i="1"/>
  <c r="U143" i="1"/>
  <c r="R143" i="1"/>
  <c r="Q143" i="1"/>
  <c r="H143" i="1"/>
  <c r="F143" i="1"/>
  <c r="Z142" i="1"/>
  <c r="Y142" i="1"/>
  <c r="V142" i="1"/>
  <c r="U142" i="1"/>
  <c r="R142" i="1"/>
  <c r="Q142" i="1"/>
  <c r="H142" i="1"/>
  <c r="F142" i="1"/>
  <c r="Z141" i="1"/>
  <c r="Y141" i="1"/>
  <c r="V141" i="1"/>
  <c r="U141" i="1"/>
  <c r="R141" i="1"/>
  <c r="Q141" i="1"/>
  <c r="H141" i="1"/>
  <c r="F141" i="1"/>
  <c r="Z140" i="1"/>
  <c r="Y140" i="1"/>
  <c r="V140" i="1"/>
  <c r="U140" i="1"/>
  <c r="R140" i="1"/>
  <c r="Q140" i="1"/>
  <c r="H140" i="1"/>
  <c r="F140" i="1"/>
  <c r="X137" i="1"/>
  <c r="T137" i="1"/>
  <c r="U137" i="1" s="1"/>
  <c r="R137" i="1"/>
  <c r="Q137" i="1"/>
  <c r="H137" i="1"/>
  <c r="F137" i="1"/>
  <c r="Z139" i="1"/>
  <c r="Y139" i="1"/>
  <c r="V139" i="1"/>
  <c r="U139" i="1"/>
  <c r="R139" i="1"/>
  <c r="Q139" i="1"/>
  <c r="H139" i="1"/>
  <c r="F139" i="1"/>
  <c r="Z138" i="1"/>
  <c r="Y138" i="1"/>
  <c r="V138" i="1"/>
  <c r="U138" i="1"/>
  <c r="R138" i="1"/>
  <c r="Q138" i="1"/>
  <c r="H138" i="1"/>
  <c r="F138" i="1"/>
  <c r="Z136" i="1"/>
  <c r="Y136" i="1"/>
  <c r="X136" i="1"/>
  <c r="V136" i="1"/>
  <c r="T136" i="1"/>
  <c r="U136" i="1" s="1"/>
  <c r="P136" i="1"/>
  <c r="Q136" i="1" s="1"/>
  <c r="H136" i="1"/>
  <c r="F136" i="1"/>
  <c r="X135" i="1"/>
  <c r="Z135" i="1" s="1"/>
  <c r="T135" i="1"/>
  <c r="V135" i="1" s="1"/>
  <c r="P135" i="1"/>
  <c r="Q135" i="1" s="1"/>
  <c r="H135" i="1"/>
  <c r="F135" i="1"/>
  <c r="X134" i="1"/>
  <c r="T134" i="1"/>
  <c r="U134" i="1" s="1"/>
  <c r="P134" i="1"/>
  <c r="R134" i="1" s="1"/>
  <c r="H134" i="1"/>
  <c r="F134" i="1"/>
  <c r="Z133" i="1"/>
  <c r="Y133" i="1"/>
  <c r="X133" i="1"/>
  <c r="T133" i="1"/>
  <c r="V133" i="1" s="1"/>
  <c r="P133" i="1"/>
  <c r="R133" i="1" s="1"/>
  <c r="H133" i="1"/>
  <c r="F133" i="1"/>
  <c r="X132" i="1"/>
  <c r="Z132" i="1" s="1"/>
  <c r="T132" i="1"/>
  <c r="V132" i="1" s="1"/>
  <c r="P132" i="1"/>
  <c r="R132" i="1" s="1"/>
  <c r="H132" i="1"/>
  <c r="F132" i="1"/>
  <c r="X131" i="1"/>
  <c r="Y131" i="1" s="1"/>
  <c r="T131" i="1"/>
  <c r="P131" i="1"/>
  <c r="Q131" i="1" s="1"/>
  <c r="H131" i="1"/>
  <c r="F131" i="1"/>
  <c r="X130" i="1"/>
  <c r="Z130" i="1" s="1"/>
  <c r="T130" i="1"/>
  <c r="V130" i="1" s="1"/>
  <c r="P130" i="1"/>
  <c r="R130" i="1" s="1"/>
  <c r="H130" i="1"/>
  <c r="F130" i="1"/>
  <c r="X129" i="1"/>
  <c r="Y129" i="1" s="1"/>
  <c r="T129" i="1"/>
  <c r="V129" i="1" s="1"/>
  <c r="P129" i="1"/>
  <c r="R129" i="1" s="1"/>
  <c r="H129" i="1"/>
  <c r="F129" i="1"/>
  <c r="X128" i="1"/>
  <c r="Z128" i="1" s="1"/>
  <c r="T128" i="1"/>
  <c r="U128" i="1" s="1"/>
  <c r="P128" i="1"/>
  <c r="H128" i="1"/>
  <c r="F128" i="1"/>
  <c r="X127" i="1"/>
  <c r="Y127" i="1" s="1"/>
  <c r="T127" i="1"/>
  <c r="V127" i="1" s="1"/>
  <c r="P127" i="1"/>
  <c r="Q127" i="1" s="1"/>
  <c r="H127" i="1"/>
  <c r="F127" i="1"/>
  <c r="X126" i="1"/>
  <c r="Z126" i="1" s="1"/>
  <c r="T126" i="1"/>
  <c r="U126" i="1" s="1"/>
  <c r="P126" i="1"/>
  <c r="R126" i="1" s="1"/>
  <c r="H126" i="1"/>
  <c r="F126" i="1"/>
  <c r="X125" i="1"/>
  <c r="Y125" i="1" s="1"/>
  <c r="T125" i="1"/>
  <c r="U125" i="1" s="1"/>
  <c r="P125" i="1"/>
  <c r="Q125" i="1" s="1"/>
  <c r="H125" i="1"/>
  <c r="F125" i="1"/>
  <c r="X124" i="1"/>
  <c r="Y124" i="1" s="1"/>
  <c r="T124" i="1"/>
  <c r="U124" i="1" s="1"/>
  <c r="P124" i="1"/>
  <c r="Q124" i="1" s="1"/>
  <c r="H124" i="1"/>
  <c r="F124" i="1"/>
  <c r="X123" i="1"/>
  <c r="Z123" i="1" s="1"/>
  <c r="T123" i="1"/>
  <c r="V123" i="1" s="1"/>
  <c r="P123" i="1"/>
  <c r="Q123" i="1" s="1"/>
  <c r="H123" i="1"/>
  <c r="F123" i="1"/>
  <c r="X122" i="1"/>
  <c r="T122" i="1"/>
  <c r="U122" i="1" s="1"/>
  <c r="P122" i="1"/>
  <c r="R122" i="1" s="1"/>
  <c r="H122" i="1"/>
  <c r="F122" i="1"/>
  <c r="X121" i="1"/>
  <c r="Y121" i="1" s="1"/>
  <c r="U121" i="1"/>
  <c r="T121" i="1"/>
  <c r="V121" i="1" s="1"/>
  <c r="P121" i="1"/>
  <c r="R121" i="1" s="1"/>
  <c r="H121" i="1"/>
  <c r="F121" i="1"/>
  <c r="X120" i="1"/>
  <c r="Z120" i="1" s="1"/>
  <c r="T120" i="1"/>
  <c r="V120" i="1" s="1"/>
  <c r="P120" i="1"/>
  <c r="R120" i="1" s="1"/>
  <c r="H120" i="1"/>
  <c r="F120" i="1"/>
  <c r="X119" i="1"/>
  <c r="Y119" i="1" s="1"/>
  <c r="T119" i="1"/>
  <c r="P119" i="1"/>
  <c r="Q119" i="1" s="1"/>
  <c r="H119" i="1"/>
  <c r="F119" i="1"/>
  <c r="X118" i="1"/>
  <c r="Z118" i="1" s="1"/>
  <c r="T118" i="1"/>
  <c r="V118" i="1" s="1"/>
  <c r="P118" i="1"/>
  <c r="R118" i="1" s="1"/>
  <c r="H118" i="1"/>
  <c r="F118" i="1"/>
  <c r="X117" i="1"/>
  <c r="Z117" i="1" s="1"/>
  <c r="T117" i="1"/>
  <c r="V117" i="1" s="1"/>
  <c r="P117" i="1"/>
  <c r="R117" i="1" s="1"/>
  <c r="H117" i="1"/>
  <c r="F117" i="1"/>
  <c r="X116" i="1"/>
  <c r="Z116" i="1" s="1"/>
  <c r="T116" i="1"/>
  <c r="U116" i="1" s="1"/>
  <c r="P116" i="1"/>
  <c r="H116" i="1"/>
  <c r="F116" i="1"/>
  <c r="Y115" i="1"/>
  <c r="X115" i="1"/>
  <c r="Z115" i="1" s="1"/>
  <c r="T115" i="1"/>
  <c r="U115" i="1" s="1"/>
  <c r="P115" i="1"/>
  <c r="R115" i="1" s="1"/>
  <c r="H115" i="1"/>
  <c r="F115" i="1"/>
  <c r="X114" i="1"/>
  <c r="Z114" i="1" s="1"/>
  <c r="T114" i="1"/>
  <c r="U114" i="1" s="1"/>
  <c r="P114" i="1"/>
  <c r="R114" i="1" s="1"/>
  <c r="H114" i="1"/>
  <c r="F114" i="1"/>
  <c r="X113" i="1"/>
  <c r="Y113" i="1" s="1"/>
  <c r="T113" i="1"/>
  <c r="U113" i="1" s="1"/>
  <c r="P113" i="1"/>
  <c r="Q113" i="1" s="1"/>
  <c r="H113" i="1"/>
  <c r="F113" i="1"/>
  <c r="X112" i="1"/>
  <c r="Y112" i="1" s="1"/>
  <c r="T112" i="1"/>
  <c r="U112" i="1" s="1"/>
  <c r="Q112" i="1"/>
  <c r="P112" i="1"/>
  <c r="R112" i="1" s="1"/>
  <c r="H112" i="1"/>
  <c r="F112" i="1"/>
  <c r="X111" i="1"/>
  <c r="Z111" i="1" s="1"/>
  <c r="T111" i="1"/>
  <c r="V111" i="1" s="1"/>
  <c r="P111" i="1"/>
  <c r="Q111" i="1" s="1"/>
  <c r="H111" i="1"/>
  <c r="F111" i="1"/>
  <c r="X110" i="1"/>
  <c r="T110" i="1"/>
  <c r="U110" i="1" s="1"/>
  <c r="P110" i="1"/>
  <c r="R110" i="1" s="1"/>
  <c r="H110" i="1"/>
  <c r="F110" i="1"/>
  <c r="X109" i="1"/>
  <c r="Z109" i="1" s="1"/>
  <c r="T109" i="1"/>
  <c r="V109" i="1" s="1"/>
  <c r="P109" i="1"/>
  <c r="R109" i="1" s="1"/>
  <c r="H109" i="1"/>
  <c r="F109" i="1"/>
  <c r="X108" i="1"/>
  <c r="Y108" i="1" s="1"/>
  <c r="T108" i="1"/>
  <c r="V108" i="1" s="1"/>
  <c r="P108" i="1"/>
  <c r="R108" i="1" s="1"/>
  <c r="H108" i="1"/>
  <c r="F108" i="1"/>
  <c r="X107" i="1"/>
  <c r="Z107" i="1" s="1"/>
  <c r="T107" i="1"/>
  <c r="P107" i="1"/>
  <c r="Q107" i="1" s="1"/>
  <c r="H107" i="1"/>
  <c r="F107" i="1"/>
  <c r="X106" i="1"/>
  <c r="Y106" i="1" s="1"/>
  <c r="T106" i="1"/>
  <c r="V106" i="1" s="1"/>
  <c r="P106" i="1"/>
  <c r="R106" i="1" s="1"/>
  <c r="H106" i="1"/>
  <c r="F106" i="1"/>
  <c r="X105" i="1"/>
  <c r="Z105" i="1" s="1"/>
  <c r="T105" i="1"/>
  <c r="U105" i="1" s="1"/>
  <c r="P105" i="1"/>
  <c r="R105" i="1" s="1"/>
  <c r="H105" i="1"/>
  <c r="F105" i="1"/>
  <c r="X104" i="1"/>
  <c r="Y104" i="1" s="1"/>
  <c r="T104" i="1"/>
  <c r="V104" i="1" s="1"/>
  <c r="P104" i="1"/>
  <c r="H104" i="1"/>
  <c r="F104" i="1"/>
  <c r="X103" i="1"/>
  <c r="Z103" i="1" s="1"/>
  <c r="T103" i="1"/>
  <c r="U103" i="1" s="1"/>
  <c r="P103" i="1"/>
  <c r="R103" i="1" s="1"/>
  <c r="H103" i="1"/>
  <c r="F103" i="1"/>
  <c r="X102" i="1"/>
  <c r="Z102" i="1" s="1"/>
  <c r="T102" i="1"/>
  <c r="U102" i="1" s="1"/>
  <c r="P102" i="1"/>
  <c r="Q102" i="1" s="1"/>
  <c r="H102" i="1"/>
  <c r="F102" i="1"/>
  <c r="X101" i="1"/>
  <c r="Y101" i="1" s="1"/>
  <c r="T101" i="1"/>
  <c r="V101" i="1" s="1"/>
  <c r="P101" i="1"/>
  <c r="R101" i="1" s="1"/>
  <c r="H101" i="1"/>
  <c r="F101" i="1"/>
  <c r="X100" i="1"/>
  <c r="Z100" i="1" s="1"/>
  <c r="T100" i="1"/>
  <c r="U100" i="1" s="1"/>
  <c r="P100" i="1"/>
  <c r="R100" i="1" s="1"/>
  <c r="H100" i="1"/>
  <c r="F100" i="1"/>
  <c r="X99" i="1"/>
  <c r="Z99" i="1" s="1"/>
  <c r="T99" i="1"/>
  <c r="V99" i="1" s="1"/>
  <c r="P99" i="1"/>
  <c r="R99" i="1" s="1"/>
  <c r="H99" i="1"/>
  <c r="F99" i="1"/>
  <c r="X98" i="1"/>
  <c r="T98" i="1"/>
  <c r="V98" i="1" s="1"/>
  <c r="P98" i="1"/>
  <c r="R98" i="1" s="1"/>
  <c r="H98" i="1"/>
  <c r="F98" i="1"/>
  <c r="X97" i="1"/>
  <c r="Z97" i="1" s="1"/>
  <c r="T97" i="1"/>
  <c r="V97" i="1" s="1"/>
  <c r="P97" i="1"/>
  <c r="Q97" i="1" s="1"/>
  <c r="H97" i="1"/>
  <c r="F97" i="1"/>
  <c r="X96" i="1"/>
  <c r="Y96" i="1" s="1"/>
  <c r="T96" i="1"/>
  <c r="V96" i="1" s="1"/>
  <c r="P96" i="1"/>
  <c r="R96" i="1" s="1"/>
  <c r="H96" i="1"/>
  <c r="F96" i="1"/>
  <c r="X95" i="1"/>
  <c r="Z95" i="1" s="1"/>
  <c r="T95" i="1"/>
  <c r="P95" i="1"/>
  <c r="R95" i="1" s="1"/>
  <c r="H95" i="1"/>
  <c r="F95" i="1"/>
  <c r="X94" i="1"/>
  <c r="Z94" i="1" s="1"/>
  <c r="U94" i="1"/>
  <c r="T94" i="1"/>
  <c r="V94" i="1" s="1"/>
  <c r="P94" i="1"/>
  <c r="R94" i="1" s="1"/>
  <c r="H94" i="1"/>
  <c r="F94" i="1"/>
  <c r="X93" i="1"/>
  <c r="Y93" i="1" s="1"/>
  <c r="T93" i="1"/>
  <c r="U93" i="1" s="1"/>
  <c r="P93" i="1"/>
  <c r="R93" i="1" s="1"/>
  <c r="H93" i="1"/>
  <c r="F93" i="1"/>
  <c r="X92" i="1"/>
  <c r="Z92" i="1" s="1"/>
  <c r="T92" i="1"/>
  <c r="U92" i="1" s="1"/>
  <c r="P92" i="1"/>
  <c r="H92" i="1"/>
  <c r="F92" i="1"/>
  <c r="X91" i="1"/>
  <c r="Y91" i="1" s="1"/>
  <c r="T91" i="1"/>
  <c r="V91" i="1" s="1"/>
  <c r="P91" i="1"/>
  <c r="R91" i="1" s="1"/>
  <c r="H91" i="1"/>
  <c r="F91" i="1"/>
  <c r="X90" i="1"/>
  <c r="Z90" i="1" s="1"/>
  <c r="T90" i="1"/>
  <c r="V90" i="1" s="1"/>
  <c r="P90" i="1"/>
  <c r="R90" i="1" s="1"/>
  <c r="H90" i="1"/>
  <c r="F90" i="1"/>
  <c r="X89" i="1"/>
  <c r="Z89" i="1" s="1"/>
  <c r="T89" i="1"/>
  <c r="V89" i="1" s="1"/>
  <c r="P89" i="1"/>
  <c r="R89" i="1" s="1"/>
  <c r="H89" i="1"/>
  <c r="F89" i="1"/>
  <c r="X88" i="1"/>
  <c r="Z88" i="1" s="1"/>
  <c r="T88" i="1"/>
  <c r="U88" i="1" s="1"/>
  <c r="P88" i="1"/>
  <c r="R88" i="1" s="1"/>
  <c r="H88" i="1"/>
  <c r="F88" i="1"/>
  <c r="X87" i="1"/>
  <c r="Z87" i="1" s="1"/>
  <c r="T87" i="1"/>
  <c r="V87" i="1" s="1"/>
  <c r="P87" i="1"/>
  <c r="R87" i="1" s="1"/>
  <c r="H87" i="1"/>
  <c r="F87" i="1"/>
  <c r="X86" i="1"/>
  <c r="T86" i="1"/>
  <c r="V86" i="1" s="1"/>
  <c r="P86" i="1"/>
  <c r="R86" i="1" s="1"/>
  <c r="H86" i="1"/>
  <c r="F86" i="1"/>
  <c r="X85" i="1"/>
  <c r="Z85" i="1" s="1"/>
  <c r="T85" i="1"/>
  <c r="U85" i="1" s="1"/>
  <c r="P85" i="1"/>
  <c r="R85" i="1" s="1"/>
  <c r="H85" i="1"/>
  <c r="F85" i="1"/>
  <c r="X84" i="1"/>
  <c r="Z84" i="1" s="1"/>
  <c r="T84" i="1"/>
  <c r="V84" i="1" s="1"/>
  <c r="P84" i="1"/>
  <c r="R84" i="1" s="1"/>
  <c r="H84" i="1"/>
  <c r="F84" i="1"/>
  <c r="X83" i="1"/>
  <c r="Y83" i="1" s="1"/>
  <c r="T83" i="1"/>
  <c r="P83" i="1"/>
  <c r="R83" i="1" s="1"/>
  <c r="H83" i="1"/>
  <c r="F83" i="1"/>
  <c r="X82" i="1"/>
  <c r="Z82" i="1" s="1"/>
  <c r="T82" i="1"/>
  <c r="V82" i="1" s="1"/>
  <c r="P82" i="1"/>
  <c r="R82" i="1" s="1"/>
  <c r="H82" i="1"/>
  <c r="F82" i="1"/>
  <c r="X81" i="1"/>
  <c r="Y81" i="1" s="1"/>
  <c r="V81" i="1"/>
  <c r="T81" i="1"/>
  <c r="U81" i="1" s="1"/>
  <c r="P81" i="1"/>
  <c r="R81" i="1" s="1"/>
  <c r="H81" i="1"/>
  <c r="F81" i="1"/>
  <c r="X80" i="1"/>
  <c r="Y80" i="1" s="1"/>
  <c r="T80" i="1"/>
  <c r="V80" i="1" s="1"/>
  <c r="P80" i="1"/>
  <c r="H80" i="1"/>
  <c r="F80" i="1"/>
  <c r="X79" i="1"/>
  <c r="Z79" i="1" s="1"/>
  <c r="T79" i="1"/>
  <c r="U79" i="1" s="1"/>
  <c r="P79" i="1"/>
  <c r="R79" i="1" s="1"/>
  <c r="H79" i="1"/>
  <c r="F79" i="1"/>
  <c r="X78" i="1"/>
  <c r="Z78" i="1" s="1"/>
  <c r="T78" i="1"/>
  <c r="V78" i="1" s="1"/>
  <c r="P78" i="1"/>
  <c r="R78" i="1" s="1"/>
  <c r="H78" i="1"/>
  <c r="F78" i="1"/>
  <c r="X77" i="1"/>
  <c r="Z77" i="1" s="1"/>
  <c r="T77" i="1"/>
  <c r="U77" i="1" s="1"/>
  <c r="P77" i="1"/>
  <c r="R77" i="1" s="1"/>
  <c r="H77" i="1"/>
  <c r="F77" i="1"/>
  <c r="X76" i="1"/>
  <c r="Y76" i="1" s="1"/>
  <c r="T76" i="1"/>
  <c r="V76" i="1" s="1"/>
  <c r="P76" i="1"/>
  <c r="Q76" i="1" s="1"/>
  <c r="H76" i="1"/>
  <c r="F76" i="1"/>
  <c r="X75" i="1"/>
  <c r="Z75" i="1" s="1"/>
  <c r="T75" i="1"/>
  <c r="V75" i="1" s="1"/>
  <c r="P75" i="1"/>
  <c r="Q75" i="1" s="1"/>
  <c r="H75" i="1"/>
  <c r="F75" i="1"/>
  <c r="X74" i="1"/>
  <c r="Y74" i="1" s="1"/>
  <c r="T74" i="1"/>
  <c r="V74" i="1" s="1"/>
  <c r="P74" i="1"/>
  <c r="R74" i="1" s="1"/>
  <c r="H74" i="1"/>
  <c r="F74" i="1"/>
  <c r="X73" i="1"/>
  <c r="Z73" i="1" s="1"/>
  <c r="T73" i="1"/>
  <c r="V73" i="1" s="1"/>
  <c r="P73" i="1"/>
  <c r="R73" i="1" s="1"/>
  <c r="H73" i="1"/>
  <c r="F73" i="1"/>
  <c r="X72" i="1"/>
  <c r="Y72" i="1" s="1"/>
  <c r="T72" i="1"/>
  <c r="V72" i="1" s="1"/>
  <c r="P72" i="1"/>
  <c r="R72" i="1" s="1"/>
  <c r="H72" i="1"/>
  <c r="F72" i="1"/>
  <c r="X71" i="1"/>
  <c r="Z71" i="1" s="1"/>
  <c r="T71" i="1"/>
  <c r="U71" i="1" s="1"/>
  <c r="P71" i="1"/>
  <c r="R71" i="1" s="1"/>
  <c r="H71" i="1"/>
  <c r="F71" i="1"/>
  <c r="X70" i="1"/>
  <c r="Z70" i="1" s="1"/>
  <c r="T70" i="1"/>
  <c r="V70" i="1" s="1"/>
  <c r="P70" i="1"/>
  <c r="Q70" i="1" s="1"/>
  <c r="H70" i="1"/>
  <c r="F70" i="1"/>
  <c r="X69" i="1"/>
  <c r="Z69" i="1" s="1"/>
  <c r="T69" i="1"/>
  <c r="U69" i="1" s="1"/>
  <c r="P69" i="1"/>
  <c r="R69" i="1" s="1"/>
  <c r="H69" i="1"/>
  <c r="F69" i="1"/>
  <c r="X68" i="1"/>
  <c r="Z68" i="1" s="1"/>
  <c r="T68" i="1"/>
  <c r="V68" i="1" s="1"/>
  <c r="P68" i="1"/>
  <c r="Q68" i="1" s="1"/>
  <c r="H68" i="1"/>
  <c r="F68" i="1"/>
  <c r="X67" i="1"/>
  <c r="Z67" i="1" s="1"/>
  <c r="T67" i="1"/>
  <c r="U67" i="1" s="1"/>
  <c r="P67" i="1"/>
  <c r="R67" i="1" s="1"/>
  <c r="H67" i="1"/>
  <c r="F67" i="1"/>
  <c r="X66" i="1"/>
  <c r="Y66" i="1" s="1"/>
  <c r="T66" i="1"/>
  <c r="V66" i="1" s="1"/>
  <c r="P66" i="1"/>
  <c r="R66" i="1" s="1"/>
  <c r="H66" i="1"/>
  <c r="F66" i="1"/>
  <c r="X65" i="1"/>
  <c r="Z65" i="1" s="1"/>
  <c r="T65" i="1"/>
  <c r="V65" i="1" s="1"/>
  <c r="P65" i="1"/>
  <c r="R65" i="1" s="1"/>
  <c r="H65" i="1"/>
  <c r="F65" i="1"/>
  <c r="X64" i="1"/>
  <c r="Y64" i="1" s="1"/>
  <c r="T64" i="1"/>
  <c r="V64" i="1" s="1"/>
  <c r="P64" i="1"/>
  <c r="Q64" i="1" s="1"/>
  <c r="H64" i="1"/>
  <c r="F64" i="1"/>
  <c r="X63" i="1"/>
  <c r="Z63" i="1" s="1"/>
  <c r="T63" i="1"/>
  <c r="V63" i="1" s="1"/>
  <c r="P63" i="1"/>
  <c r="R63" i="1" s="1"/>
  <c r="H63" i="1"/>
  <c r="F63" i="1"/>
  <c r="X62" i="1"/>
  <c r="Y62" i="1" s="1"/>
  <c r="T62" i="1"/>
  <c r="U62" i="1" s="1"/>
  <c r="P62" i="1"/>
  <c r="Q62" i="1" s="1"/>
  <c r="H62" i="1"/>
  <c r="F62" i="1"/>
  <c r="X61" i="1"/>
  <c r="Y61" i="1" s="1"/>
  <c r="T61" i="1"/>
  <c r="U61" i="1" s="1"/>
  <c r="P61" i="1"/>
  <c r="R61" i="1" s="1"/>
  <c r="H61" i="1"/>
  <c r="F61" i="1"/>
  <c r="X60" i="1"/>
  <c r="Z60" i="1" s="1"/>
  <c r="T60" i="1"/>
  <c r="V60" i="1" s="1"/>
  <c r="P60" i="1"/>
  <c r="Q60" i="1" s="1"/>
  <c r="H60" i="1"/>
  <c r="F60" i="1"/>
  <c r="X59" i="1"/>
  <c r="Z59" i="1" s="1"/>
  <c r="T59" i="1"/>
  <c r="U59" i="1" s="1"/>
  <c r="P59" i="1"/>
  <c r="R59" i="1" s="1"/>
  <c r="H59" i="1"/>
  <c r="F59" i="1"/>
  <c r="X58" i="1"/>
  <c r="Z58" i="1" s="1"/>
  <c r="T58" i="1"/>
  <c r="V58" i="1" s="1"/>
  <c r="P58" i="1"/>
  <c r="Q58" i="1" s="1"/>
  <c r="H58" i="1"/>
  <c r="F58" i="1"/>
  <c r="X57" i="1"/>
  <c r="Z57" i="1" s="1"/>
  <c r="T57" i="1"/>
  <c r="V57" i="1" s="1"/>
  <c r="P57" i="1"/>
  <c r="R57" i="1" s="1"/>
  <c r="H57" i="1"/>
  <c r="F57" i="1"/>
  <c r="X56" i="1"/>
  <c r="Y56" i="1" s="1"/>
  <c r="T56" i="1"/>
  <c r="V56" i="1" s="1"/>
  <c r="P56" i="1"/>
  <c r="Q56" i="1" s="1"/>
  <c r="H56" i="1"/>
  <c r="F56" i="1"/>
  <c r="X55" i="1"/>
  <c r="Z55" i="1" s="1"/>
  <c r="T55" i="1"/>
  <c r="V55" i="1" s="1"/>
  <c r="P55" i="1"/>
  <c r="R55" i="1" s="1"/>
  <c r="H55" i="1"/>
  <c r="F55" i="1"/>
  <c r="X54" i="1"/>
  <c r="Y54" i="1" s="1"/>
  <c r="T54" i="1"/>
  <c r="V54" i="1" s="1"/>
  <c r="P54" i="1"/>
  <c r="R54" i="1" s="1"/>
  <c r="H54" i="1"/>
  <c r="F54" i="1"/>
  <c r="X53" i="1"/>
  <c r="Z53" i="1" s="1"/>
  <c r="T53" i="1"/>
  <c r="U53" i="1" s="1"/>
  <c r="P53" i="1"/>
  <c r="R53" i="1" s="1"/>
  <c r="H53" i="1"/>
  <c r="F53" i="1"/>
  <c r="X52" i="1"/>
  <c r="Y52" i="1" s="1"/>
  <c r="T52" i="1"/>
  <c r="V52" i="1" s="1"/>
  <c r="P52" i="1"/>
  <c r="R52" i="1" s="1"/>
  <c r="H52" i="1"/>
  <c r="F52" i="1"/>
  <c r="X51" i="1"/>
  <c r="Z51" i="1" s="1"/>
  <c r="T51" i="1"/>
  <c r="U51" i="1" s="1"/>
  <c r="P51" i="1"/>
  <c r="R51" i="1" s="1"/>
  <c r="H51" i="1"/>
  <c r="F51" i="1"/>
  <c r="Y50" i="1"/>
  <c r="X50" i="1"/>
  <c r="Z50" i="1" s="1"/>
  <c r="T50" i="1"/>
  <c r="V50" i="1" s="1"/>
  <c r="P50" i="1"/>
  <c r="Q50" i="1" s="1"/>
  <c r="H50" i="1"/>
  <c r="F50" i="1"/>
  <c r="X49" i="1"/>
  <c r="Z49" i="1" s="1"/>
  <c r="T49" i="1"/>
  <c r="V49" i="1" s="1"/>
  <c r="P49" i="1"/>
  <c r="R49" i="1" s="1"/>
  <c r="H49" i="1"/>
  <c r="F49" i="1"/>
  <c r="X48" i="1"/>
  <c r="Z48" i="1" s="1"/>
  <c r="T48" i="1"/>
  <c r="V48" i="1" s="1"/>
  <c r="P48" i="1"/>
  <c r="Q48" i="1" s="1"/>
  <c r="H48" i="1"/>
  <c r="F48" i="1"/>
  <c r="X47" i="1"/>
  <c r="Y47" i="1" s="1"/>
  <c r="T47" i="1"/>
  <c r="U47" i="1" s="1"/>
  <c r="P47" i="1"/>
  <c r="R47" i="1" s="1"/>
  <c r="H47" i="1"/>
  <c r="F47" i="1"/>
  <c r="X46" i="1"/>
  <c r="Z46" i="1" s="1"/>
  <c r="T46" i="1"/>
  <c r="V46" i="1" s="1"/>
  <c r="P46" i="1"/>
  <c r="Q46" i="1" s="1"/>
  <c r="H46" i="1"/>
  <c r="F46" i="1"/>
  <c r="X45" i="1"/>
  <c r="Z45" i="1" s="1"/>
  <c r="T45" i="1"/>
  <c r="V45" i="1" s="1"/>
  <c r="P45" i="1"/>
  <c r="R45" i="1" s="1"/>
  <c r="H45" i="1"/>
  <c r="F45" i="1"/>
  <c r="X44" i="1"/>
  <c r="Y44" i="1" s="1"/>
  <c r="T44" i="1"/>
  <c r="V44" i="1" s="1"/>
  <c r="P44" i="1"/>
  <c r="R44" i="1" s="1"/>
  <c r="H44" i="1"/>
  <c r="F44" i="1"/>
  <c r="Y43" i="1"/>
  <c r="X43" i="1"/>
  <c r="Z43" i="1" s="1"/>
  <c r="T43" i="1"/>
  <c r="V43" i="1" s="1"/>
  <c r="P43" i="1"/>
  <c r="R43" i="1" s="1"/>
  <c r="H43" i="1"/>
  <c r="F43" i="1"/>
  <c r="X42" i="1"/>
  <c r="Y42" i="1" s="1"/>
  <c r="T42" i="1"/>
  <c r="V42" i="1" s="1"/>
  <c r="P42" i="1"/>
  <c r="R42" i="1" s="1"/>
  <c r="H42" i="1"/>
  <c r="F42" i="1"/>
  <c r="X41" i="1"/>
  <c r="Z41" i="1" s="1"/>
  <c r="T41" i="1"/>
  <c r="U41" i="1" s="1"/>
  <c r="P41" i="1"/>
  <c r="Q41" i="1" s="1"/>
  <c r="H41" i="1"/>
  <c r="F41" i="1"/>
  <c r="X40" i="1"/>
  <c r="Y40" i="1" s="1"/>
  <c r="T40" i="1"/>
  <c r="V40" i="1" s="1"/>
  <c r="P40" i="1"/>
  <c r="R40" i="1" s="1"/>
  <c r="H40" i="1"/>
  <c r="F40" i="1"/>
  <c r="X39" i="1"/>
  <c r="Z39" i="1" s="1"/>
  <c r="T39" i="1"/>
  <c r="U39" i="1" s="1"/>
  <c r="P39" i="1"/>
  <c r="R39" i="1" s="1"/>
  <c r="H39" i="1"/>
  <c r="F39" i="1"/>
  <c r="Z38" i="1"/>
  <c r="X38" i="1"/>
  <c r="Y38" i="1" s="1"/>
  <c r="T38" i="1"/>
  <c r="V38" i="1" s="1"/>
  <c r="P38" i="1"/>
  <c r="Q38" i="1" s="1"/>
  <c r="H38" i="1"/>
  <c r="F38" i="1"/>
  <c r="X37" i="1"/>
  <c r="Z37" i="1" s="1"/>
  <c r="T37" i="1"/>
  <c r="U37" i="1" s="1"/>
  <c r="P37" i="1"/>
  <c r="R37" i="1" s="1"/>
  <c r="H37" i="1"/>
  <c r="F37" i="1"/>
  <c r="X36" i="1"/>
  <c r="Z36" i="1" s="1"/>
  <c r="T36" i="1"/>
  <c r="V36" i="1" s="1"/>
  <c r="P36" i="1"/>
  <c r="Q36" i="1" s="1"/>
  <c r="H36" i="1"/>
  <c r="F36" i="1"/>
  <c r="X35" i="1"/>
  <c r="Z35" i="1" s="1"/>
  <c r="T35" i="1"/>
  <c r="V35" i="1" s="1"/>
  <c r="P35" i="1"/>
  <c r="R35" i="1" s="1"/>
  <c r="H35" i="1"/>
  <c r="F35" i="1"/>
  <c r="X34" i="1"/>
  <c r="Z34" i="1" s="1"/>
  <c r="T34" i="1"/>
  <c r="V34" i="1" s="1"/>
  <c r="P34" i="1"/>
  <c r="Q34" i="1" s="1"/>
  <c r="H34" i="1"/>
  <c r="F34" i="1"/>
  <c r="X33" i="1"/>
  <c r="Z33" i="1" s="1"/>
  <c r="T33" i="1"/>
  <c r="V33" i="1" s="1"/>
  <c r="P33" i="1"/>
  <c r="R33" i="1" s="1"/>
  <c r="H33" i="1"/>
  <c r="F33" i="1"/>
  <c r="X32" i="1"/>
  <c r="Y32" i="1" s="1"/>
  <c r="T32" i="1"/>
  <c r="V32" i="1" s="1"/>
  <c r="P32" i="1"/>
  <c r="R32" i="1" s="1"/>
  <c r="H32" i="1"/>
  <c r="F32" i="1"/>
  <c r="X31" i="1"/>
  <c r="Z31" i="1" s="1"/>
  <c r="T31" i="1"/>
  <c r="U31" i="1" s="1"/>
  <c r="P31" i="1"/>
  <c r="R31" i="1" s="1"/>
  <c r="H31" i="1"/>
  <c r="F31" i="1"/>
  <c r="X30" i="1"/>
  <c r="Y30" i="1" s="1"/>
  <c r="T30" i="1"/>
  <c r="U30" i="1" s="1"/>
  <c r="P30" i="1"/>
  <c r="Q30" i="1" s="1"/>
  <c r="H30" i="1"/>
  <c r="F30" i="1"/>
  <c r="X29" i="1"/>
  <c r="Z29" i="1" s="1"/>
  <c r="T29" i="1"/>
  <c r="V29" i="1" s="1"/>
  <c r="P29" i="1"/>
  <c r="R29" i="1" s="1"/>
  <c r="H29" i="1"/>
  <c r="F29" i="1"/>
  <c r="X28" i="1"/>
  <c r="Y28" i="1" s="1"/>
  <c r="T28" i="1"/>
  <c r="V28" i="1" s="1"/>
  <c r="P28" i="1"/>
  <c r="Q28" i="1" s="1"/>
  <c r="H28" i="1"/>
  <c r="F28" i="1"/>
  <c r="X27" i="1"/>
  <c r="Y27" i="1" s="1"/>
  <c r="T27" i="1"/>
  <c r="U27" i="1" s="1"/>
  <c r="P27" i="1"/>
  <c r="Q27" i="1" s="1"/>
  <c r="H27" i="1"/>
  <c r="F27" i="1"/>
  <c r="X26" i="1"/>
  <c r="Z26" i="1" s="1"/>
  <c r="T26" i="1"/>
  <c r="V26" i="1" s="1"/>
  <c r="P26" i="1"/>
  <c r="R26" i="1" s="1"/>
  <c r="H26" i="1"/>
  <c r="F26" i="1"/>
  <c r="X25" i="1"/>
  <c r="Z25" i="1" s="1"/>
  <c r="T25" i="1"/>
  <c r="U25" i="1" s="1"/>
  <c r="P25" i="1"/>
  <c r="R25" i="1" s="1"/>
  <c r="H25" i="1"/>
  <c r="F25" i="1"/>
  <c r="X24" i="1"/>
  <c r="Z24" i="1" s="1"/>
  <c r="T24" i="1"/>
  <c r="V24" i="1" s="1"/>
  <c r="P24" i="1"/>
  <c r="Q24" i="1" s="1"/>
  <c r="H24" i="1"/>
  <c r="F24" i="1"/>
  <c r="X23" i="1"/>
  <c r="Z23" i="1" s="1"/>
  <c r="T23" i="1"/>
  <c r="V23" i="1" s="1"/>
  <c r="R23" i="1"/>
  <c r="Q23" i="1"/>
  <c r="P23" i="1"/>
  <c r="H23" i="1"/>
  <c r="F23" i="1"/>
  <c r="X22" i="1"/>
  <c r="Y22" i="1" s="1"/>
  <c r="T22" i="1"/>
  <c r="V22" i="1" s="1"/>
  <c r="P22" i="1"/>
  <c r="Q22" i="1" s="1"/>
  <c r="H22" i="1"/>
  <c r="F22" i="1"/>
  <c r="X21" i="1"/>
  <c r="Z21" i="1" s="1"/>
  <c r="T21" i="1"/>
  <c r="U21" i="1" s="1"/>
  <c r="P21" i="1"/>
  <c r="Q21" i="1" s="1"/>
  <c r="H21" i="1"/>
  <c r="F21" i="1"/>
  <c r="X20" i="1"/>
  <c r="Y20" i="1" s="1"/>
  <c r="T20" i="1"/>
  <c r="V20" i="1" s="1"/>
  <c r="P20" i="1"/>
  <c r="R20" i="1" s="1"/>
  <c r="H20" i="1"/>
  <c r="F20" i="1"/>
  <c r="X19" i="1"/>
  <c r="Z19" i="1" s="1"/>
  <c r="T19" i="1"/>
  <c r="U19" i="1" s="1"/>
  <c r="P19" i="1"/>
  <c r="R19" i="1" s="1"/>
  <c r="H19" i="1"/>
  <c r="F19" i="1"/>
  <c r="X18" i="1"/>
  <c r="Y18" i="1" s="1"/>
  <c r="T18" i="1"/>
  <c r="V18" i="1" s="1"/>
  <c r="P18" i="1"/>
  <c r="Q18" i="1" s="1"/>
  <c r="H18" i="1"/>
  <c r="F18" i="1"/>
  <c r="X17" i="1"/>
  <c r="Z17" i="1" s="1"/>
  <c r="T17" i="1"/>
  <c r="U17" i="1" s="1"/>
  <c r="P17" i="1"/>
  <c r="R17" i="1" s="1"/>
  <c r="H17" i="1"/>
  <c r="F17" i="1"/>
  <c r="X16" i="1"/>
  <c r="Y16" i="1" s="1"/>
  <c r="T16" i="1"/>
  <c r="V16" i="1" s="1"/>
  <c r="P16" i="1"/>
  <c r="Q16" i="1" s="1"/>
  <c r="H16" i="1"/>
  <c r="F16" i="1"/>
  <c r="X15" i="1"/>
  <c r="Z15" i="1" s="1"/>
  <c r="T15" i="1"/>
  <c r="U15" i="1" s="1"/>
  <c r="P15" i="1"/>
  <c r="R15" i="1" s="1"/>
  <c r="H15" i="1"/>
  <c r="F15" i="1"/>
  <c r="X14" i="1"/>
  <c r="Z14" i="1" s="1"/>
  <c r="T14" i="1"/>
  <c r="V14" i="1" s="1"/>
  <c r="P14" i="1"/>
  <c r="Q14" i="1" s="1"/>
  <c r="H14" i="1"/>
  <c r="F14" i="1"/>
  <c r="X13" i="1"/>
  <c r="Z13" i="1" s="1"/>
  <c r="T13" i="1"/>
  <c r="U13" i="1" s="1"/>
  <c r="P13" i="1"/>
  <c r="R13" i="1" s="1"/>
  <c r="H13" i="1"/>
  <c r="F13" i="1"/>
  <c r="X12" i="1"/>
  <c r="Y12" i="1" s="1"/>
  <c r="T12" i="1"/>
  <c r="V12" i="1" s="1"/>
  <c r="P12" i="1"/>
  <c r="Q12" i="1" s="1"/>
  <c r="H12" i="1"/>
  <c r="F12" i="1"/>
  <c r="X11" i="1"/>
  <c r="Z11" i="1" s="1"/>
  <c r="T11" i="1"/>
  <c r="V11" i="1" s="1"/>
  <c r="P11" i="1"/>
  <c r="Q11" i="1" s="1"/>
  <c r="H11" i="1"/>
  <c r="F11" i="1"/>
  <c r="X10" i="1"/>
  <c r="Y10" i="1" s="1"/>
  <c r="T10" i="1"/>
  <c r="V10" i="1" s="1"/>
  <c r="P10" i="1"/>
  <c r="R10" i="1" s="1"/>
  <c r="H10" i="1"/>
  <c r="F10" i="1"/>
  <c r="X9" i="1"/>
  <c r="Z9" i="1" s="1"/>
  <c r="T9" i="1"/>
  <c r="U9" i="1" s="1"/>
  <c r="P9" i="1"/>
  <c r="R9" i="1" s="1"/>
  <c r="H9" i="1"/>
  <c r="F9" i="1"/>
  <c r="X8" i="1"/>
  <c r="Y8" i="1" s="1"/>
  <c r="T8" i="1"/>
  <c r="V8" i="1" s="1"/>
  <c r="P8" i="1"/>
  <c r="R8" i="1" s="1"/>
  <c r="H8" i="1"/>
  <c r="F8" i="1"/>
  <c r="X7" i="1"/>
  <c r="Z7" i="1" s="1"/>
  <c r="T7" i="1"/>
  <c r="U7" i="1" s="1"/>
  <c r="P7" i="1"/>
  <c r="R7" i="1" s="1"/>
  <c r="H7" i="1"/>
  <c r="F7" i="1"/>
  <c r="X6" i="1"/>
  <c r="Y6" i="1" s="1"/>
  <c r="T6" i="1"/>
  <c r="V6" i="1" s="1"/>
  <c r="P6" i="1"/>
  <c r="Q6" i="1" s="1"/>
  <c r="H6" i="1"/>
  <c r="F6" i="1"/>
  <c r="X5" i="1"/>
  <c r="Y5" i="1" s="1"/>
  <c r="T5" i="1"/>
  <c r="U5" i="1" s="1"/>
  <c r="P5" i="1"/>
  <c r="R5" i="1" s="1"/>
  <c r="H5" i="1"/>
  <c r="F5" i="1"/>
  <c r="X4" i="1"/>
  <c r="Z4" i="1" s="1"/>
  <c r="T4" i="1"/>
  <c r="V4" i="1" s="1"/>
  <c r="P4" i="1"/>
  <c r="Q4" i="1" s="1"/>
  <c r="H4" i="1"/>
  <c r="F4" i="1"/>
  <c r="X3" i="1"/>
  <c r="Z3" i="1" s="1"/>
  <c r="T3" i="1"/>
  <c r="U3" i="1" s="1"/>
  <c r="P3" i="1"/>
  <c r="R3" i="1" s="1"/>
  <c r="H3" i="1"/>
  <c r="F3" i="1"/>
  <c r="X2" i="1"/>
  <c r="Y2" i="1" s="1"/>
  <c r="T2" i="1"/>
  <c r="V2" i="1" s="1"/>
  <c r="P2" i="1"/>
  <c r="Q2" i="1" s="1"/>
  <c r="H2" i="1"/>
  <c r="F2" i="1"/>
  <c r="Q37" i="1" l="1"/>
  <c r="V59" i="1"/>
  <c r="Q103" i="1"/>
  <c r="Q110" i="1"/>
  <c r="V128" i="1"/>
  <c r="Y130" i="1"/>
  <c r="U66" i="1"/>
  <c r="R62" i="1"/>
  <c r="R56" i="1"/>
  <c r="R102" i="1"/>
  <c r="R27" i="1"/>
  <c r="U29" i="1"/>
  <c r="Z81" i="1"/>
  <c r="V100" i="1"/>
  <c r="U6" i="1"/>
  <c r="Z54" i="1"/>
  <c r="R41" i="1"/>
  <c r="Q59" i="1"/>
  <c r="U63" i="1"/>
  <c r="Q130" i="1"/>
  <c r="U14" i="1"/>
  <c r="Q96" i="1"/>
  <c r="V116" i="1"/>
  <c r="U118" i="1"/>
  <c r="V124" i="1"/>
  <c r="V122" i="1"/>
  <c r="Z5" i="1"/>
  <c r="U65" i="1"/>
  <c r="Q72" i="1"/>
  <c r="U74" i="1"/>
  <c r="R76" i="1"/>
  <c r="Q86" i="1"/>
  <c r="V92" i="1"/>
  <c r="U96" i="1"/>
  <c r="Z104" i="1"/>
  <c r="Z106" i="1"/>
  <c r="Q115" i="1"/>
  <c r="Y118" i="1"/>
  <c r="Z124" i="1"/>
  <c r="Y29" i="1"/>
  <c r="R36" i="1"/>
  <c r="R38" i="1"/>
  <c r="Y90" i="1"/>
  <c r="Y94" i="1"/>
  <c r="R111" i="1"/>
  <c r="R113" i="1"/>
  <c r="Q17" i="1"/>
  <c r="U23" i="1"/>
  <c r="V115" i="1"/>
  <c r="R127" i="1"/>
  <c r="Z42" i="1"/>
  <c r="Y59" i="1"/>
  <c r="Z76" i="1"/>
  <c r="Z80" i="1"/>
  <c r="R4" i="1"/>
  <c r="V17" i="1"/>
  <c r="Y34" i="1"/>
  <c r="V47" i="1"/>
  <c r="Q79" i="1"/>
  <c r="Q91" i="1"/>
  <c r="R97" i="1"/>
  <c r="V103" i="1"/>
  <c r="V105" i="1"/>
  <c r="U26" i="1"/>
  <c r="Y99" i="1"/>
  <c r="Z121" i="1"/>
  <c r="Z2" i="1"/>
  <c r="Q20" i="1"/>
  <c r="Y89" i="1"/>
  <c r="R50" i="1"/>
  <c r="U56" i="1"/>
  <c r="Z62" i="1"/>
  <c r="Y75" i="1"/>
  <c r="V79" i="1"/>
  <c r="Y85" i="1"/>
  <c r="Y87" i="1"/>
  <c r="Q118" i="1"/>
  <c r="Z8" i="1"/>
  <c r="Z12" i="1"/>
  <c r="Z18" i="1"/>
  <c r="U20" i="1"/>
  <c r="R30" i="1"/>
  <c r="U40" i="1"/>
  <c r="Y46" i="1"/>
  <c r="U52" i="1"/>
  <c r="Z61" i="1"/>
  <c r="Q63" i="1"/>
  <c r="Q93" i="1"/>
  <c r="V113" i="1"/>
  <c r="R124" i="1"/>
  <c r="Z127" i="1"/>
  <c r="Z129" i="1"/>
  <c r="R135" i="1"/>
  <c r="R11" i="1"/>
  <c r="Z30" i="1"/>
  <c r="Q49" i="1"/>
  <c r="Q74" i="1"/>
  <c r="Z93" i="1"/>
  <c r="Q95" i="1"/>
  <c r="U108" i="1"/>
  <c r="V110" i="1"/>
  <c r="Y11" i="1"/>
  <c r="Y7" i="1"/>
  <c r="Y19" i="1"/>
  <c r="V21" i="1"/>
  <c r="V39" i="1"/>
  <c r="Q53" i="1"/>
  <c r="Z56" i="1"/>
  <c r="V62" i="1"/>
  <c r="Z72" i="1"/>
  <c r="V88" i="1"/>
  <c r="Y95" i="1"/>
  <c r="R107" i="1"/>
  <c r="Z112" i="1"/>
  <c r="V114" i="1"/>
  <c r="R123" i="1"/>
  <c r="Q134" i="1"/>
  <c r="R136" i="1"/>
  <c r="Y474" i="1"/>
  <c r="R6" i="1"/>
  <c r="R12" i="1"/>
  <c r="R18" i="1"/>
  <c r="Y31" i="1"/>
  <c r="Y53" i="1"/>
  <c r="U55" i="1"/>
  <c r="Z66" i="1"/>
  <c r="Y107" i="1"/>
  <c r="V125" i="1"/>
  <c r="U127" i="1"/>
  <c r="V7" i="1"/>
  <c r="Z10" i="1"/>
  <c r="Q15" i="1"/>
  <c r="Q35" i="1"/>
  <c r="U44" i="1"/>
  <c r="Z47" i="1"/>
  <c r="Y55" i="1"/>
  <c r="R60" i="1"/>
  <c r="U82" i="1"/>
  <c r="Q84" i="1"/>
  <c r="U87" i="1"/>
  <c r="Z96" i="1"/>
  <c r="U106" i="1"/>
  <c r="U109" i="1"/>
  <c r="Z113" i="1"/>
  <c r="Z119" i="1"/>
  <c r="U130" i="1"/>
  <c r="Y193" i="1"/>
  <c r="U4" i="1"/>
  <c r="U18" i="1"/>
  <c r="Y21" i="1"/>
  <c r="Q25" i="1"/>
  <c r="Y26" i="1"/>
  <c r="U28" i="1"/>
  <c r="U38" i="1"/>
  <c r="V41" i="1"/>
  <c r="Q98" i="1"/>
  <c r="Z101" i="1"/>
  <c r="V112" i="1"/>
  <c r="Q129" i="1"/>
  <c r="R14" i="1"/>
  <c r="V15" i="1"/>
  <c r="U35" i="1"/>
  <c r="Q40" i="1"/>
  <c r="Y41" i="1"/>
  <c r="U43" i="1"/>
  <c r="Z44" i="1"/>
  <c r="U68" i="1"/>
  <c r="Q78" i="1"/>
  <c r="Y84" i="1"/>
  <c r="U98" i="1"/>
  <c r="Y109" i="1"/>
  <c r="Q117" i="1"/>
  <c r="V126" i="1"/>
  <c r="Q3" i="1"/>
  <c r="V9" i="1"/>
  <c r="R48" i="1"/>
  <c r="V51" i="1"/>
  <c r="Y65" i="1"/>
  <c r="R70" i="1"/>
  <c r="U73" i="1"/>
  <c r="R2" i="1"/>
  <c r="Y9" i="1"/>
  <c r="Y17" i="1"/>
  <c r="Z20" i="1"/>
  <c r="Q29" i="1"/>
  <c r="V30" i="1"/>
  <c r="Q32" i="1"/>
  <c r="Y35" i="1"/>
  <c r="Q47" i="1"/>
  <c r="Q61" i="1"/>
  <c r="R64" i="1"/>
  <c r="Q67" i="1"/>
  <c r="Y68" i="1"/>
  <c r="U70" i="1"/>
  <c r="Y73" i="1"/>
  <c r="U78" i="1"/>
  <c r="U86" i="1"/>
  <c r="Q90" i="1"/>
  <c r="U97" i="1"/>
  <c r="Y117" i="1"/>
  <c r="Q122" i="1"/>
  <c r="R125" i="1"/>
  <c r="V134" i="1"/>
  <c r="Q8" i="1"/>
  <c r="U11" i="1"/>
  <c r="R24" i="1"/>
  <c r="Q26" i="1"/>
  <c r="V27" i="1"/>
  <c r="U50" i="1"/>
  <c r="Z108" i="1"/>
  <c r="Q5" i="1"/>
  <c r="V5" i="1"/>
  <c r="V53" i="1"/>
  <c r="Q66" i="1"/>
  <c r="Z83" i="1"/>
  <c r="Z91" i="1"/>
  <c r="U104" i="1"/>
  <c r="U133" i="1"/>
  <c r="U2" i="1"/>
  <c r="Y14" i="1"/>
  <c r="U8" i="1"/>
  <c r="Q13" i="1"/>
  <c r="U16" i="1"/>
  <c r="Z32" i="1"/>
  <c r="Q44" i="1"/>
  <c r="Q52" i="1"/>
  <c r="Y58" i="1"/>
  <c r="Z64" i="1"/>
  <c r="V67" i="1"/>
  <c r="Y70" i="1"/>
  <c r="Q77" i="1"/>
  <c r="Y78" i="1"/>
  <c r="V85" i="1"/>
  <c r="U90" i="1"/>
  <c r="V93" i="1"/>
  <c r="Y97" i="1"/>
  <c r="U99" i="1"/>
  <c r="Q101" i="1"/>
  <c r="Q106" i="1"/>
  <c r="V3" i="1"/>
  <c r="Z6" i="1"/>
  <c r="Z125" i="1"/>
  <c r="Z131" i="1"/>
  <c r="Z440" i="1"/>
  <c r="Y420" i="1"/>
  <c r="Z410" i="1"/>
  <c r="V442" i="1"/>
  <c r="Z316" i="1"/>
  <c r="Z398" i="1"/>
  <c r="Z339" i="1"/>
  <c r="Z463" i="1"/>
  <c r="Y500" i="1"/>
  <c r="V284" i="1"/>
  <c r="Z460" i="1"/>
  <c r="Z253" i="1"/>
  <c r="U309" i="1"/>
  <c r="Z501" i="1"/>
  <c r="U239" i="1"/>
  <c r="U222" i="1"/>
  <c r="U167" i="1"/>
  <c r="Z241" i="1"/>
  <c r="V357" i="1"/>
  <c r="Z522" i="1"/>
  <c r="V199" i="1"/>
  <c r="Y454" i="1"/>
  <c r="Y537" i="1"/>
  <c r="V488" i="1"/>
  <c r="V550" i="1"/>
  <c r="Z277" i="1"/>
  <c r="Y304" i="1"/>
  <c r="V421" i="1"/>
  <c r="Y163" i="1"/>
  <c r="V149" i="1"/>
  <c r="Y178" i="1"/>
  <c r="Y260" i="1"/>
  <c r="Z306" i="1"/>
  <c r="Y320" i="1"/>
  <c r="Z488" i="1"/>
  <c r="Z527" i="1"/>
  <c r="Y149" i="1"/>
  <c r="Z268" i="1"/>
  <c r="Z354" i="1"/>
  <c r="Z434" i="1"/>
  <c r="Y538" i="1"/>
  <c r="V543" i="1"/>
  <c r="U228" i="1"/>
  <c r="Z362" i="1"/>
  <c r="Z481" i="1"/>
  <c r="Z511" i="1"/>
  <c r="V515" i="1"/>
  <c r="Y547" i="1"/>
  <c r="V215" i="1"/>
  <c r="U267" i="1"/>
  <c r="V307" i="1"/>
  <c r="U426" i="1"/>
  <c r="Z370" i="1"/>
  <c r="U406" i="1"/>
  <c r="V472" i="1"/>
  <c r="V522" i="1"/>
  <c r="Z534" i="1"/>
  <c r="V287" i="1"/>
  <c r="Y296" i="1"/>
  <c r="U376" i="1"/>
  <c r="V430" i="1"/>
  <c r="Z472" i="1"/>
  <c r="Y497" i="1"/>
  <c r="Y189" i="1"/>
  <c r="V196" i="1"/>
  <c r="V217" i="1"/>
  <c r="Y266" i="1"/>
  <c r="Y271" i="1"/>
  <c r="U275" i="1"/>
  <c r="Y331" i="1"/>
  <c r="Y384" i="1"/>
  <c r="U411" i="1"/>
  <c r="V432" i="1"/>
  <c r="U469" i="1"/>
  <c r="Z480" i="1"/>
  <c r="Z533" i="1"/>
  <c r="Y167" i="1"/>
  <c r="Y230" i="1"/>
  <c r="V253" i="1"/>
  <c r="V290" i="1"/>
  <c r="V304" i="1"/>
  <c r="U325" i="1"/>
  <c r="V342" i="1"/>
  <c r="Y359" i="1"/>
  <c r="V460" i="1"/>
  <c r="F552" i="1"/>
  <c r="V169" i="1"/>
  <c r="U188" i="1"/>
  <c r="U232" i="1"/>
  <c r="U295" i="1"/>
  <c r="V315" i="1"/>
  <c r="V361" i="1"/>
  <c r="Y365" i="1"/>
  <c r="Y388" i="1"/>
  <c r="V413" i="1"/>
  <c r="Y469" i="1"/>
  <c r="Z483" i="1"/>
  <c r="Z499" i="1"/>
  <c r="Z535" i="1"/>
  <c r="V539" i="1"/>
  <c r="U163" i="1"/>
  <c r="V186" i="1"/>
  <c r="U227" i="1"/>
  <c r="V282" i="1"/>
  <c r="V298" i="1"/>
  <c r="Z310" i="1"/>
  <c r="Y333" i="1"/>
  <c r="Y397" i="1"/>
  <c r="Z406" i="1"/>
  <c r="V154" i="1"/>
  <c r="V303" i="1"/>
  <c r="U402" i="1"/>
  <c r="V422" i="1"/>
  <c r="Z431" i="1"/>
  <c r="Y464" i="1"/>
  <c r="U516" i="1"/>
  <c r="Y200" i="1"/>
  <c r="Y285" i="1"/>
  <c r="Y360" i="1"/>
  <c r="V484" i="1"/>
  <c r="Y205" i="1"/>
  <c r="V299" i="1"/>
  <c r="V316" i="1"/>
  <c r="Y327" i="1"/>
  <c r="Y348" i="1"/>
  <c r="V353" i="1"/>
  <c r="V362" i="1"/>
  <c r="V371" i="1"/>
  <c r="Z402" i="1"/>
  <c r="V416" i="1"/>
  <c r="Y428" i="1"/>
  <c r="Z438" i="1"/>
  <c r="U440" i="1"/>
  <c r="Y516" i="1"/>
  <c r="U525" i="1"/>
  <c r="Y278" i="1"/>
  <c r="Y319" i="1"/>
  <c r="Y330" i="1"/>
  <c r="Z349" i="1"/>
  <c r="V352" i="1"/>
  <c r="Y355" i="1"/>
  <c r="Y364" i="1"/>
  <c r="U374" i="1"/>
  <c r="V389" i="1"/>
  <c r="Y449" i="1"/>
  <c r="Z456" i="1"/>
  <c r="U524" i="1"/>
  <c r="Y541" i="1"/>
  <c r="Y544" i="1"/>
  <c r="V549" i="1"/>
  <c r="Y227" i="1"/>
  <c r="V248" i="1"/>
  <c r="Z289" i="1"/>
  <c r="Y300" i="1"/>
  <c r="V200" i="1"/>
  <c r="Z232" i="1"/>
  <c r="V242" i="1"/>
  <c r="U280" i="1"/>
  <c r="Y290" i="1"/>
  <c r="Y303" i="1"/>
  <c r="U308" i="1"/>
  <c r="V321" i="1"/>
  <c r="V334" i="1"/>
  <c r="U367" i="1"/>
  <c r="Z422" i="1"/>
  <c r="V455" i="1"/>
  <c r="Y465" i="1"/>
  <c r="Y524" i="1"/>
  <c r="U536" i="1"/>
  <c r="Y248" i="1"/>
  <c r="U348" i="1"/>
  <c r="U354" i="1"/>
  <c r="U431" i="1"/>
  <c r="Y515" i="1"/>
  <c r="U523" i="1"/>
  <c r="Y529" i="1"/>
  <c r="Y543" i="1"/>
  <c r="V537" i="1"/>
  <c r="Y539" i="1"/>
  <c r="U145" i="1"/>
  <c r="Y188" i="1"/>
  <c r="V208" i="1"/>
  <c r="Z242" i="1"/>
  <c r="V252" i="1"/>
  <c r="Z270" i="1"/>
  <c r="V305" i="1"/>
  <c r="Y321" i="1"/>
  <c r="Z334" i="1"/>
  <c r="Z367" i="1"/>
  <c r="Y386" i="1"/>
  <c r="V396" i="1"/>
  <c r="Y399" i="1"/>
  <c r="Y419" i="1"/>
  <c r="V490" i="1"/>
  <c r="V526" i="1"/>
  <c r="Z215" i="1"/>
  <c r="V137" i="1"/>
  <c r="Y145" i="1"/>
  <c r="V178" i="1"/>
  <c r="U194" i="1"/>
  <c r="Y199" i="1"/>
  <c r="V205" i="1"/>
  <c r="Y208" i="1"/>
  <c r="Y257" i="1"/>
  <c r="Y264" i="1"/>
  <c r="V279" i="1"/>
  <c r="Y297" i="1"/>
  <c r="Z309" i="1"/>
  <c r="Z314" i="1"/>
  <c r="V320" i="1"/>
  <c r="V365" i="1"/>
  <c r="Z396" i="1"/>
  <c r="Z426" i="1"/>
  <c r="V434" i="1"/>
  <c r="V501" i="1"/>
  <c r="Z523" i="1"/>
  <c r="U545" i="1"/>
  <c r="Z548" i="1"/>
  <c r="U392" i="1"/>
  <c r="U417" i="1"/>
  <c r="Y451" i="1"/>
  <c r="V518" i="1"/>
  <c r="V528" i="1"/>
  <c r="V250" i="1"/>
  <c r="Y276" i="1"/>
  <c r="Z279" i="1"/>
  <c r="V144" i="1"/>
  <c r="Z194" i="1"/>
  <c r="V212" i="1"/>
  <c r="V207" i="1"/>
  <c r="U230" i="1"/>
  <c r="Y235" i="1"/>
  <c r="U263" i="1"/>
  <c r="Z353" i="1"/>
  <c r="Y376" i="1"/>
  <c r="Y385" i="1"/>
  <c r="Y392" i="1"/>
  <c r="Y412" i="1"/>
  <c r="Y417" i="1"/>
  <c r="Y423" i="1"/>
  <c r="Y436" i="1"/>
  <c r="Z443" i="1"/>
  <c r="U447" i="1"/>
  <c r="U456" i="1"/>
  <c r="V463" i="1"/>
  <c r="Y482" i="1"/>
  <c r="Z545" i="1"/>
  <c r="V547" i="1"/>
  <c r="U551" i="1"/>
  <c r="V221" i="1"/>
  <c r="Y238" i="1"/>
  <c r="U241" i="1"/>
  <c r="Y250" i="1"/>
  <c r="V268" i="1"/>
  <c r="U281" i="1"/>
  <c r="Y284" i="1"/>
  <c r="U380" i="1"/>
  <c r="V401" i="1"/>
  <c r="Z407" i="1"/>
  <c r="Z466" i="1"/>
  <c r="V468" i="1"/>
  <c r="Y489" i="1"/>
  <c r="V544" i="1"/>
  <c r="V204" i="1"/>
  <c r="Y210" i="1"/>
  <c r="U158" i="1"/>
  <c r="U172" i="1"/>
  <c r="V184" i="1"/>
  <c r="V202" i="1"/>
  <c r="Z222" i="1"/>
  <c r="V245" i="1"/>
  <c r="Z263" i="1"/>
  <c r="V274" i="1"/>
  <c r="Z275" i="1"/>
  <c r="Y291" i="1"/>
  <c r="V293" i="1"/>
  <c r="Y295" i="1"/>
  <c r="Z305" i="1"/>
  <c r="Z318" i="1"/>
  <c r="V324" i="1"/>
  <c r="Y325" i="1"/>
  <c r="V332" i="1"/>
  <c r="U344" i="1"/>
  <c r="Z413" i="1"/>
  <c r="V415" i="1"/>
  <c r="V427" i="1"/>
  <c r="V444" i="1"/>
  <c r="Z448" i="1"/>
  <c r="Y457" i="1"/>
  <c r="V467" i="1"/>
  <c r="V485" i="1"/>
  <c r="Y498" i="1"/>
  <c r="Y508" i="1"/>
  <c r="V513" i="1"/>
  <c r="Z532" i="1"/>
  <c r="V540" i="1"/>
  <c r="Y546" i="1"/>
  <c r="Y158" i="1"/>
  <c r="Y172" i="1"/>
  <c r="Y184" i="1"/>
  <c r="U193" i="1"/>
  <c r="Y202" i="1"/>
  <c r="V236" i="1"/>
  <c r="Y245" i="1"/>
  <c r="V259" i="1"/>
  <c r="U271" i="1"/>
  <c r="Z274" i="1"/>
  <c r="U288" i="1"/>
  <c r="Y293" i="1"/>
  <c r="U301" i="1"/>
  <c r="U311" i="1"/>
  <c r="Y324" i="1"/>
  <c r="U338" i="1"/>
  <c r="Y344" i="1"/>
  <c r="U349" i="1"/>
  <c r="U364" i="1"/>
  <c r="U369" i="1"/>
  <c r="Y379" i="1"/>
  <c r="U397" i="1"/>
  <c r="U419" i="1"/>
  <c r="U423" i="1"/>
  <c r="Y427" i="1"/>
  <c r="U435" i="1"/>
  <c r="Y444" i="1"/>
  <c r="V470" i="1"/>
  <c r="U473" i="1"/>
  <c r="Y476" i="1"/>
  <c r="Y479" i="1"/>
  <c r="U497" i="1"/>
  <c r="U531" i="1"/>
  <c r="Z540" i="1"/>
  <c r="Z236" i="1"/>
  <c r="V247" i="1"/>
  <c r="V255" i="1"/>
  <c r="Z259" i="1"/>
  <c r="V323" i="1"/>
  <c r="U328" i="1"/>
  <c r="U381" i="1"/>
  <c r="Y394" i="1"/>
  <c r="U429" i="1"/>
  <c r="Y435" i="1"/>
  <c r="Y447" i="1"/>
  <c r="V459" i="1"/>
  <c r="Y473" i="1"/>
  <c r="U478" i="1"/>
  <c r="V548" i="1"/>
  <c r="V195" i="1"/>
  <c r="U210" i="1"/>
  <c r="U223" i="1"/>
  <c r="Z247" i="1"/>
  <c r="Z255" i="1"/>
  <c r="Y267" i="1"/>
  <c r="V270" i="1"/>
  <c r="V276" i="1"/>
  <c r="Y280" i="1"/>
  <c r="Y282" i="1"/>
  <c r="U296" i="1"/>
  <c r="Y315" i="1"/>
  <c r="U319" i="1"/>
  <c r="U327" i="1"/>
  <c r="Y378" i="1"/>
  <c r="Y381" i="1"/>
  <c r="Y404" i="1"/>
  <c r="Y411" i="1"/>
  <c r="Y429" i="1"/>
  <c r="Y446" i="1"/>
  <c r="U449" i="1"/>
  <c r="U454" i="1"/>
  <c r="U458" i="1"/>
  <c r="Y459" i="1"/>
  <c r="Y462" i="1"/>
  <c r="Y478" i="1"/>
  <c r="Y484" i="1"/>
  <c r="V487" i="1"/>
  <c r="V500" i="1"/>
  <c r="V512" i="1"/>
  <c r="Y525" i="1"/>
  <c r="U533" i="1"/>
  <c r="V314" i="1"/>
  <c r="V333" i="1"/>
  <c r="Z352" i="1"/>
  <c r="Y361" i="1"/>
  <c r="V363" i="1"/>
  <c r="U368" i="1"/>
  <c r="V383" i="1"/>
  <c r="U386" i="1"/>
  <c r="Y401" i="1"/>
  <c r="V391" i="1"/>
  <c r="Y425" i="1"/>
  <c r="V437" i="1"/>
  <c r="Y455" i="1"/>
  <c r="Y512" i="1"/>
  <c r="Y458" i="1"/>
  <c r="V477" i="1"/>
  <c r="U480" i="1"/>
  <c r="U508" i="1"/>
  <c r="U185" i="1"/>
  <c r="Y144" i="1"/>
  <c r="U211" i="1"/>
  <c r="U206" i="1"/>
  <c r="V229" i="1"/>
  <c r="U238" i="1"/>
  <c r="Y246" i="1"/>
  <c r="U249" i="1"/>
  <c r="U257" i="1"/>
  <c r="U260" i="1"/>
  <c r="Y299" i="1"/>
  <c r="U285" i="1"/>
  <c r="V289" i="1"/>
  <c r="Y287" i="1"/>
  <c r="Z298" i="1"/>
  <c r="V306" i="1"/>
  <c r="Y307" i="1"/>
  <c r="U339" i="1"/>
  <c r="Y347" i="1"/>
  <c r="V370" i="1"/>
  <c r="Y371" i="1"/>
  <c r="U385" i="1"/>
  <c r="U388" i="1"/>
  <c r="Y389" i="1"/>
  <c r="V403" i="1"/>
  <c r="Y416" i="1"/>
  <c r="Y421" i="1"/>
  <c r="Y432" i="1"/>
  <c r="U436" i="1"/>
  <c r="V439" i="1"/>
  <c r="Y445" i="1"/>
  <c r="U464" i="1"/>
  <c r="Y468" i="1"/>
  <c r="Z471" i="1"/>
  <c r="U474" i="1"/>
  <c r="Y490" i="1"/>
  <c r="U203" i="1"/>
  <c r="V189" i="1"/>
  <c r="Y197" i="1"/>
  <c r="Y203" i="1"/>
  <c r="V278" i="1"/>
  <c r="V300" i="1"/>
  <c r="Z357" i="1"/>
  <c r="V359" i="1"/>
  <c r="Y377" i="1"/>
  <c r="V452" i="1"/>
  <c r="U489" i="1"/>
  <c r="U529" i="1"/>
  <c r="R68" i="1"/>
  <c r="R16" i="1"/>
  <c r="V19" i="1"/>
  <c r="Z22" i="1"/>
  <c r="R28" i="1"/>
  <c r="V31" i="1"/>
  <c r="Y33" i="1"/>
  <c r="Q39" i="1"/>
  <c r="U42" i="1"/>
  <c r="Y45" i="1"/>
  <c r="Q51" i="1"/>
  <c r="U54" i="1"/>
  <c r="Y57" i="1"/>
  <c r="U64" i="1"/>
  <c r="Y67" i="1"/>
  <c r="Q71" i="1"/>
  <c r="U80" i="1"/>
  <c r="Y82" i="1"/>
  <c r="Q85" i="1"/>
  <c r="Y88" i="1"/>
  <c r="Y100" i="1"/>
  <c r="Y105" i="1"/>
  <c r="Q108" i="1"/>
  <c r="Y114" i="1"/>
  <c r="Y126" i="1"/>
  <c r="U153" i="1"/>
  <c r="V201" i="1"/>
  <c r="V235" i="1"/>
  <c r="U235" i="1"/>
  <c r="U286" i="1"/>
  <c r="U310" i="1"/>
  <c r="Z308" i="1"/>
  <c r="Y308" i="1"/>
  <c r="Z335" i="1"/>
  <c r="Y335" i="1"/>
  <c r="V356" i="1"/>
  <c r="U356" i="1"/>
  <c r="Z513" i="1"/>
  <c r="Y513" i="1"/>
  <c r="Y71" i="1"/>
  <c r="Q83" i="1"/>
  <c r="R21" i="1"/>
  <c r="Z27" i="1"/>
  <c r="U72" i="1"/>
  <c r="Z74" i="1"/>
  <c r="R92" i="1"/>
  <c r="Q92" i="1"/>
  <c r="Q120" i="1"/>
  <c r="Q132" i="1"/>
  <c r="U190" i="1"/>
  <c r="U191" i="1"/>
  <c r="Z196" i="1"/>
  <c r="Z201" i="1"/>
  <c r="Y201" i="1"/>
  <c r="U213" i="1"/>
  <c r="U216" i="1"/>
  <c r="V519" i="1"/>
  <c r="V244" i="1"/>
  <c r="V302" i="1"/>
  <c r="U302" i="1"/>
  <c r="V312" i="1"/>
  <c r="U312" i="1"/>
  <c r="Z356" i="1"/>
  <c r="Y356" i="1"/>
  <c r="V379" i="1"/>
  <c r="U379" i="1"/>
  <c r="V382" i="1"/>
  <c r="U382" i="1"/>
  <c r="V398" i="1"/>
  <c r="U407" i="1"/>
  <c r="V407" i="1"/>
  <c r="U445" i="1"/>
  <c r="V445" i="1"/>
  <c r="U481" i="1"/>
  <c r="V481" i="1"/>
  <c r="V482" i="1"/>
  <c r="U482" i="1"/>
  <c r="Y492" i="1"/>
  <c r="U511" i="1"/>
  <c r="R116" i="1"/>
  <c r="Q116" i="1"/>
  <c r="R128" i="1"/>
  <c r="Q128" i="1"/>
  <c r="Z519" i="1"/>
  <c r="Y519" i="1"/>
  <c r="Z244" i="1"/>
  <c r="Y244" i="1"/>
  <c r="V272" i="1"/>
  <c r="U272" i="1"/>
  <c r="Z346" i="1"/>
  <c r="Y346" i="1"/>
  <c r="Z382" i="1"/>
  <c r="Y382" i="1"/>
  <c r="V384" i="1"/>
  <c r="U384" i="1"/>
  <c r="V412" i="1"/>
  <c r="U412" i="1"/>
  <c r="U283" i="1"/>
  <c r="V283" i="1"/>
  <c r="V448" i="1"/>
  <c r="U448" i="1"/>
  <c r="V517" i="1"/>
  <c r="U517" i="1"/>
  <c r="U534" i="1"/>
  <c r="V534" i="1"/>
  <c r="V538" i="1"/>
  <c r="U538" i="1"/>
  <c r="Q69" i="1"/>
  <c r="V71" i="1"/>
  <c r="U120" i="1"/>
  <c r="U132" i="1"/>
  <c r="U146" i="1"/>
  <c r="U168" i="1"/>
  <c r="U174" i="1"/>
  <c r="Z186" i="1"/>
  <c r="Y186" i="1"/>
  <c r="Y191" i="1"/>
  <c r="U198" i="1"/>
  <c r="U197" i="1"/>
  <c r="Z204" i="1"/>
  <c r="Z207" i="1"/>
  <c r="Y207" i="1"/>
  <c r="Y216" i="1"/>
  <c r="Z229" i="1"/>
  <c r="Y229" i="1"/>
  <c r="Z252" i="1"/>
  <c r="Y252" i="1"/>
  <c r="V256" i="1"/>
  <c r="V291" i="1"/>
  <c r="U291" i="1"/>
  <c r="Y302" i="1"/>
  <c r="Y312" i="1"/>
  <c r="Y323" i="1"/>
  <c r="Z338" i="1"/>
  <c r="Y338" i="1"/>
  <c r="V394" i="1"/>
  <c r="U394" i="1"/>
  <c r="V420" i="1"/>
  <c r="U420" i="1"/>
  <c r="V457" i="1"/>
  <c r="U457" i="1"/>
  <c r="U471" i="1"/>
  <c r="V471" i="1"/>
  <c r="Z487" i="1"/>
  <c r="Y487" i="1"/>
  <c r="Z542" i="1"/>
  <c r="Y542" i="1"/>
  <c r="V237" i="1"/>
  <c r="U237" i="1"/>
  <c r="Z256" i="1"/>
  <c r="Y256" i="1"/>
  <c r="V262" i="1"/>
  <c r="Z265" i="1"/>
  <c r="Y265" i="1"/>
  <c r="Y272" i="1"/>
  <c r="Z369" i="1"/>
  <c r="Y369" i="1"/>
  <c r="V387" i="1"/>
  <c r="U387" i="1"/>
  <c r="U424" i="1"/>
  <c r="Z439" i="1"/>
  <c r="Y439" i="1"/>
  <c r="U461" i="1"/>
  <c r="U503" i="1"/>
  <c r="Y517" i="1"/>
  <c r="H552" i="1"/>
  <c r="Z342" i="1"/>
  <c r="Y342" i="1"/>
  <c r="V355" i="1"/>
  <c r="U355" i="1"/>
  <c r="Z372" i="1"/>
  <c r="Y372" i="1"/>
  <c r="Z387" i="1"/>
  <c r="Y387" i="1"/>
  <c r="Z415" i="1"/>
  <c r="Y415" i="1"/>
  <c r="Z452" i="1"/>
  <c r="Y452" i="1"/>
  <c r="Z477" i="1"/>
  <c r="Y477" i="1"/>
  <c r="Z528" i="1"/>
  <c r="Y528" i="1"/>
  <c r="Y4" i="1"/>
  <c r="Q10" i="1"/>
  <c r="U49" i="1"/>
  <c r="Q89" i="1"/>
  <c r="V246" i="1"/>
  <c r="U246" i="1"/>
  <c r="V318" i="1"/>
  <c r="U318" i="1"/>
  <c r="U330" i="1"/>
  <c r="V330" i="1"/>
  <c r="Y3" i="1"/>
  <c r="Q9" i="1"/>
  <c r="U12" i="1"/>
  <c r="V13" i="1"/>
  <c r="Y15" i="1"/>
  <c r="Z16" i="1"/>
  <c r="R22" i="1"/>
  <c r="U24" i="1"/>
  <c r="V25" i="1"/>
  <c r="Z28" i="1"/>
  <c r="Q33" i="1"/>
  <c r="R34" i="1"/>
  <c r="U36" i="1"/>
  <c r="V37" i="1"/>
  <c r="Y39" i="1"/>
  <c r="Z40" i="1"/>
  <c r="Q45" i="1"/>
  <c r="R46" i="1"/>
  <c r="U48" i="1"/>
  <c r="Y51" i="1"/>
  <c r="Z52" i="1"/>
  <c r="Q57" i="1"/>
  <c r="R58" i="1"/>
  <c r="U60" i="1"/>
  <c r="V61" i="1"/>
  <c r="V69" i="1"/>
  <c r="R75" i="1"/>
  <c r="U76" i="1"/>
  <c r="V77" i="1"/>
  <c r="Y79" i="1"/>
  <c r="Q82" i="1"/>
  <c r="Q88" i="1"/>
  <c r="U91" i="1"/>
  <c r="Y92" i="1"/>
  <c r="Q100" i="1"/>
  <c r="V102" i="1"/>
  <c r="Y103" i="1"/>
  <c r="U111" i="1"/>
  <c r="Y116" i="1"/>
  <c r="R119" i="1"/>
  <c r="U123" i="1"/>
  <c r="Y128" i="1"/>
  <c r="R131" i="1"/>
  <c r="U135" i="1"/>
  <c r="Z137" i="1"/>
  <c r="Y137" i="1"/>
  <c r="U164" i="1"/>
  <c r="Y174" i="1"/>
  <c r="Z221" i="1"/>
  <c r="V231" i="1"/>
  <c r="U231" i="1"/>
  <c r="Y237" i="1"/>
  <c r="U243" i="1"/>
  <c r="V254" i="1"/>
  <c r="U254" i="1"/>
  <c r="V277" i="1"/>
  <c r="U277" i="1"/>
  <c r="U322" i="1"/>
  <c r="U337" i="1"/>
  <c r="V360" i="1"/>
  <c r="U360" i="1"/>
  <c r="V438" i="1"/>
  <c r="U438" i="1"/>
  <c r="V486" i="1"/>
  <c r="U486" i="1"/>
  <c r="Z86" i="1"/>
  <c r="Y86" i="1"/>
  <c r="Z98" i="1"/>
  <c r="Y98" i="1"/>
  <c r="U84" i="1"/>
  <c r="V107" i="1"/>
  <c r="U107" i="1"/>
  <c r="V83" i="1"/>
  <c r="U83" i="1"/>
  <c r="V119" i="1"/>
  <c r="U119" i="1"/>
  <c r="V131" i="1"/>
  <c r="U131" i="1"/>
  <c r="V258" i="1"/>
  <c r="U258" i="1"/>
  <c r="V345" i="1"/>
  <c r="U345" i="1"/>
  <c r="V347" i="1"/>
  <c r="U347" i="1"/>
  <c r="V350" i="1"/>
  <c r="U350" i="1"/>
  <c r="V404" i="1"/>
  <c r="U404" i="1"/>
  <c r="Z441" i="1"/>
  <c r="Y441" i="1"/>
  <c r="V443" i="1"/>
  <c r="U443" i="1"/>
  <c r="V476" i="1"/>
  <c r="U476" i="1"/>
  <c r="V479" i="1"/>
  <c r="U479" i="1"/>
  <c r="V498" i="1"/>
  <c r="U498" i="1"/>
  <c r="V527" i="1"/>
  <c r="U527" i="1"/>
  <c r="V541" i="1"/>
  <c r="U541" i="1"/>
  <c r="Q7" i="1"/>
  <c r="U10" i="1"/>
  <c r="Y13" i="1"/>
  <c r="Q19" i="1"/>
  <c r="U22" i="1"/>
  <c r="Y25" i="1"/>
  <c r="Q31" i="1"/>
  <c r="U34" i="1"/>
  <c r="Y37" i="1"/>
  <c r="Q43" i="1"/>
  <c r="U46" i="1"/>
  <c r="Y49" i="1"/>
  <c r="Q55" i="1"/>
  <c r="U58" i="1"/>
  <c r="Q65" i="1"/>
  <c r="Y69" i="1"/>
  <c r="Q73" i="1"/>
  <c r="U75" i="1"/>
  <c r="Y77" i="1"/>
  <c r="Q81" i="1"/>
  <c r="Q87" i="1"/>
  <c r="U89" i="1"/>
  <c r="Q94" i="1"/>
  <c r="Q99" i="1"/>
  <c r="U101" i="1"/>
  <c r="Y102" i="1"/>
  <c r="Q105" i="1"/>
  <c r="Q109" i="1"/>
  <c r="Y111" i="1"/>
  <c r="Q121" i="1"/>
  <c r="Y123" i="1"/>
  <c r="Q133" i="1"/>
  <c r="Y135" i="1"/>
  <c r="Z154" i="1"/>
  <c r="Y154" i="1"/>
  <c r="V192" i="1"/>
  <c r="V214" i="1"/>
  <c r="Y231" i="1"/>
  <c r="V233" i="1"/>
  <c r="Y254" i="1"/>
  <c r="U251" i="1"/>
  <c r="V264" i="1"/>
  <c r="U264" i="1"/>
  <c r="V297" i="1"/>
  <c r="U297" i="1"/>
  <c r="V313" i="1"/>
  <c r="U313" i="1"/>
  <c r="V340" i="1"/>
  <c r="U340" i="1"/>
  <c r="Z345" i="1"/>
  <c r="Y345" i="1"/>
  <c r="Z350" i="1"/>
  <c r="Y350" i="1"/>
  <c r="Y363" i="1"/>
  <c r="Z374" i="1"/>
  <c r="Y374" i="1"/>
  <c r="V414" i="1"/>
  <c r="U414" i="1"/>
  <c r="Z430" i="1"/>
  <c r="Y430" i="1"/>
  <c r="V451" i="1"/>
  <c r="U451" i="1"/>
  <c r="Z467" i="1"/>
  <c r="Y467" i="1"/>
  <c r="Z409" i="1"/>
  <c r="Y409" i="1"/>
  <c r="Y486" i="1"/>
  <c r="Z530" i="1"/>
  <c r="Y530" i="1"/>
  <c r="Y24" i="1"/>
  <c r="U33" i="1"/>
  <c r="Y36" i="1"/>
  <c r="Q42" i="1"/>
  <c r="U45" i="1"/>
  <c r="Y48" i="1"/>
  <c r="Q54" i="1"/>
  <c r="U57" i="1"/>
  <c r="Y60" i="1"/>
  <c r="V95" i="1"/>
  <c r="U95" i="1"/>
  <c r="Z192" i="1"/>
  <c r="Y192" i="1"/>
  <c r="Z214" i="1"/>
  <c r="Y214" i="1"/>
  <c r="Z233" i="1"/>
  <c r="Y233" i="1"/>
  <c r="Y258" i="1"/>
  <c r="U261" i="1"/>
  <c r="V266" i="1"/>
  <c r="U266" i="1"/>
  <c r="V273" i="1"/>
  <c r="U273" i="1"/>
  <c r="Z288" i="1"/>
  <c r="Y288" i="1"/>
  <c r="Z313" i="1"/>
  <c r="Y313" i="1"/>
  <c r="V351" i="1"/>
  <c r="U351" i="1"/>
  <c r="Z383" i="1"/>
  <c r="Y383" i="1"/>
  <c r="V399" i="1"/>
  <c r="U399" i="1"/>
  <c r="U466" i="1"/>
  <c r="V532" i="1"/>
  <c r="U532" i="1"/>
  <c r="Z550" i="1"/>
  <c r="Y550" i="1"/>
  <c r="Y23" i="1"/>
  <c r="U32" i="1"/>
  <c r="R80" i="1"/>
  <c r="Q80" i="1"/>
  <c r="R104" i="1"/>
  <c r="Q104" i="1"/>
  <c r="Z273" i="1"/>
  <c r="Y273" i="1"/>
  <c r="Z351" i="1"/>
  <c r="Y351" i="1"/>
  <c r="U377" i="1"/>
  <c r="V377" i="1"/>
  <c r="Y414" i="1"/>
  <c r="V425" i="1"/>
  <c r="U425" i="1"/>
  <c r="V462" i="1"/>
  <c r="U462" i="1"/>
  <c r="Z521" i="1"/>
  <c r="Y521" i="1"/>
  <c r="Y63" i="1"/>
  <c r="Z262" i="1"/>
  <c r="Y262" i="1"/>
  <c r="Z110" i="1"/>
  <c r="Y110" i="1"/>
  <c r="Z122" i="1"/>
  <c r="Y122" i="1"/>
  <c r="Z134" i="1"/>
  <c r="Y134" i="1"/>
  <c r="R552" i="1"/>
  <c r="Z169" i="1"/>
  <c r="Y169" i="1"/>
  <c r="Z195" i="1"/>
  <c r="Z212" i="1"/>
  <c r="Y212" i="1"/>
  <c r="Z217" i="1"/>
  <c r="Z292" i="1"/>
  <c r="Y292" i="1"/>
  <c r="Z311" i="1"/>
  <c r="Y311" i="1"/>
  <c r="Z332" i="1"/>
  <c r="Y332" i="1"/>
  <c r="U373" i="1"/>
  <c r="Z380" i="1"/>
  <c r="Y380" i="1"/>
  <c r="Z395" i="1"/>
  <c r="Y395" i="1"/>
  <c r="Y391" i="1"/>
  <c r="V492" i="1"/>
  <c r="U492" i="1"/>
  <c r="V546" i="1"/>
  <c r="U546" i="1"/>
  <c r="U499" i="1"/>
  <c r="Q114" i="1"/>
  <c r="U117" i="1"/>
  <c r="Y120" i="1"/>
  <c r="Q126" i="1"/>
  <c r="U129" i="1"/>
  <c r="Y132" i="1"/>
  <c r="Y146" i="1"/>
  <c r="Y153" i="1"/>
  <c r="Y164" i="1"/>
  <c r="Y168" i="1"/>
  <c r="Y185" i="1"/>
  <c r="Y190" i="1"/>
  <c r="Y198" i="1"/>
  <c r="Y211" i="1"/>
  <c r="Y206" i="1"/>
  <c r="Y213" i="1"/>
  <c r="Y223" i="1"/>
  <c r="Y228" i="1"/>
  <c r="Y239" i="1"/>
  <c r="Y243" i="1"/>
  <c r="Y249" i="1"/>
  <c r="Y251" i="1"/>
  <c r="Y261" i="1"/>
  <c r="Y281" i="1"/>
  <c r="Y286" i="1"/>
  <c r="Y301" i="1"/>
  <c r="Y322" i="1"/>
  <c r="Y328" i="1"/>
  <c r="U335" i="1"/>
  <c r="Y337" i="1"/>
  <c r="U331" i="1"/>
  <c r="Y368" i="1"/>
  <c r="U372" i="1"/>
  <c r="Y373" i="1"/>
  <c r="U378" i="1"/>
  <c r="Y424" i="1"/>
  <c r="V428" i="1"/>
  <c r="U433" i="1"/>
  <c r="Y283" i="1"/>
  <c r="Y461" i="1"/>
  <c r="V465" i="1"/>
  <c r="U475" i="1"/>
  <c r="U450" i="1"/>
  <c r="Y503" i="1"/>
  <c r="V265" i="1"/>
  <c r="Y340" i="1"/>
  <c r="V346" i="1"/>
  <c r="U395" i="1"/>
  <c r="Y403" i="1"/>
  <c r="U410" i="1"/>
  <c r="Y433" i="1"/>
  <c r="Y437" i="1"/>
  <c r="U441" i="1"/>
  <c r="Y442" i="1"/>
  <c r="U446" i="1"/>
  <c r="Y470" i="1"/>
  <c r="Y475" i="1"/>
  <c r="U409" i="1"/>
  <c r="Y450" i="1"/>
  <c r="U483" i="1"/>
  <c r="Y518" i="1"/>
  <c r="U521" i="1"/>
  <c r="Y526" i="1"/>
  <c r="U530" i="1"/>
  <c r="Y531" i="1"/>
  <c r="U535" i="1"/>
  <c r="Y551" i="1"/>
  <c r="V292" i="1"/>
  <c r="Y485" i="1"/>
  <c r="Y536" i="1"/>
  <c r="V542" i="1"/>
  <c r="Y549" i="1"/>
  <c r="Z552" i="1" l="1"/>
  <c r="V552" i="1"/>
</calcChain>
</file>

<file path=xl/sharedStrings.xml><?xml version="1.0" encoding="utf-8"?>
<sst xmlns="http://schemas.openxmlformats.org/spreadsheetml/2006/main" count="2619" uniqueCount="1961">
  <si>
    <t>ORDEN</t>
  </si>
  <si>
    <t>EMPRETIENDA</t>
  </si>
  <si>
    <t>ESTADO</t>
  </si>
  <si>
    <t>STOCK</t>
  </si>
  <si>
    <t>COSTO UNIT</t>
  </si>
  <si>
    <t>TOTAL STOCK</t>
  </si>
  <si>
    <t>CANTIDAD</t>
  </si>
  <si>
    <t>COMPRA</t>
  </si>
  <si>
    <t>ORDEN CATALOGO</t>
  </si>
  <si>
    <t>CATEGORIA</t>
  </si>
  <si>
    <t>NOVEDAD</t>
  </si>
  <si>
    <t>DISPONIBILIDAD</t>
  </si>
  <si>
    <t>PROMOCION</t>
  </si>
  <si>
    <t>NOMBRE</t>
  </si>
  <si>
    <t>PRECIO</t>
  </si>
  <si>
    <t>TOTAL</t>
  </si>
  <si>
    <t>@imagen</t>
  </si>
  <si>
    <t>Url</t>
  </si>
  <si>
    <t>Descripción</t>
  </si>
  <si>
    <t>ACCESORIOS</t>
  </si>
  <si>
    <t>ADAPTADOR DE VIAJE</t>
  </si>
  <si>
    <t>H:\OneDrive\TRABAJOS\TAO Accesorios\web reina\imagenes\ADAPTADOR_DE_VIAJE.png</t>
  </si>
  <si>
    <t>https://reinaelectronica.com.ar/producto/adaptador-de-viaje/</t>
  </si>
  <si>
    <t>BATERIA RC BL-5C</t>
  </si>
  <si>
    <t>H:\OneDrive\TRABAJOS\TAO Accesorios\web reina\imagenes\BATERIA_RC_BL5C.jpg</t>
  </si>
  <si>
    <t>https://reinaelectronica.com.ar/producto/bateria-rc-bl-5c/</t>
  </si>
  <si>
    <t>BATERIA RC CORE 2</t>
  </si>
  <si>
    <t>H:\OneDrive\TRABAJOS\TAO Accesorios\web reina\imagenes\BATERIA_RC_CORE_2.jpg</t>
  </si>
  <si>
    <t>https://reinaelectronica.com.ar/producto/bateria-rc-core-2/</t>
  </si>
  <si>
    <t>Voltaje: 3.8v Amperaje: 1020mAh Composicion: Batería de Li-Ion</t>
  </si>
  <si>
    <t>BATERIA RC HUAWEI Y6</t>
  </si>
  <si>
    <t>H:\OneDrive\TRABAJOS\TAO Accesorios\web reina\imagenes\BATERIA_RC_HUAWEI_Y6.jpg</t>
  </si>
  <si>
    <t>https://reinaelectronica.com.ar/producto/bateria-rc-huawei-y6/</t>
  </si>
  <si>
    <t>BATERIA RC HUAWEI Y62</t>
  </si>
  <si>
    <t>H:\OneDrive\TRABAJOS\TAO Accesorios\web reina\imagenes\BATERIA_RC_HUAWEI_Y62.jpg</t>
  </si>
  <si>
    <t>https://reinaelectronica.com.ar/producto/bateria-rc-huawei-y62/</t>
  </si>
  <si>
    <t>BATERIA RC J1</t>
  </si>
  <si>
    <t>H:\OneDrive\TRABAJOS\TAO Accesorios\web reina\imagenes\BATERIA_RC_J1.jpg</t>
  </si>
  <si>
    <t>https://reinaelectronica.com.ar/producto/bateria-rc-j1/</t>
  </si>
  <si>
    <t>BATERIA RC J1 ACE</t>
  </si>
  <si>
    <t>H:\OneDrive\TRABAJOS\TAO Accesorios\web reina\imagenes\BATERIA_RC_J1_ACE.jpg</t>
  </si>
  <si>
    <t>https://reinaelectronica.com.ar/producto/bateria-rc-j1-ace/</t>
  </si>
  <si>
    <t>BATERIA RC J2 PRIME</t>
  </si>
  <si>
    <t>H:\OneDrive\TRABAJOS\TAO Accesorios\web reina\imagenes\BATERIA_RC_J2_PRIME.jpg</t>
  </si>
  <si>
    <t>https://reinaelectronica.com.ar/producto/bateria-rc-j2-prime/</t>
  </si>
  <si>
    <t>BATERIA RC J5 2016</t>
  </si>
  <si>
    <t>H:\OneDrive\TRABAJOS\TAO Accesorios\web reina\imagenes\BATERIA_RC_J5_2016.jpg</t>
  </si>
  <si>
    <t>https://reinaelectronica.com.ar/producto/bateria-rc-j5-2016/</t>
  </si>
  <si>
    <t>BATERIA RC J7 2015/NEO</t>
  </si>
  <si>
    <t>H:\OneDrive\TRABAJOS\TAO Accesorios\web reina\imagenes\BATERIA_RC_J7_2015NEO.jpg</t>
  </si>
  <si>
    <t>https://reinaelectronica.com.ar/producto/bateria-rc-j7-2015-neo/</t>
  </si>
  <si>
    <t>BATERIA RC J7 2016</t>
  </si>
  <si>
    <t>H:\OneDrive\TRABAJOS\TAO Accesorios\web reina\imagenes\BATERIA_RC_J7_2016.jpg</t>
  </si>
  <si>
    <t>https://reinaelectronica.com.ar/producto/bateria-rc-j7-2016/</t>
  </si>
  <si>
    <t>BATERIA RC K4</t>
  </si>
  <si>
    <t>H:\OneDrive\TRABAJOS\TAO Accesorios\web reina\imagenes\BATERIA_RC_K4.jpg</t>
  </si>
  <si>
    <t>https://reinaelectronica.com.ar/producto/bateria-rc-k4/</t>
  </si>
  <si>
    <t>BATERIA RC K4 2017</t>
  </si>
  <si>
    <t>H:\OneDrive\TRABAJOS\TAO Accesorios\web reina\imagenes\BATERIA_RC_K4_2017.jpg</t>
  </si>
  <si>
    <t>https://reinaelectronica.com.ar/producto/bateria-rc-k4-2017/</t>
  </si>
  <si>
    <t>BATERIA RC LG K10</t>
  </si>
  <si>
    <t>H:\OneDrive\TRABAJOS\TAO Accesorios\web reina\imagenes\BATERIA_RC_LG_K10.jpg</t>
  </si>
  <si>
    <t>https://reinaelectronica.com.ar/producto/bateria-rc-lg-k10/</t>
  </si>
  <si>
    <t>BATERIA RC MOTO C PLUS</t>
  </si>
  <si>
    <t>H:\OneDrive\TRABAJOS\TAO Accesorios\web reina\imagenes\BATERIA_RC_MOTO_C_PLUS.jpg</t>
  </si>
  <si>
    <t>https://reinaelectronica.com.ar/producto/bateria-rc-moto-c-plus/</t>
  </si>
  <si>
    <t>BATERIA RC MOTO E5 PLAY</t>
  </si>
  <si>
    <t>H:\OneDrive\TRABAJOS\TAO Accesorios\web reina\imagenes\BATERIA_RC_MOTO_E5_PLAY.jpg</t>
  </si>
  <si>
    <t>https://reinaelectronica.com.ar/producto/bateria-rc-moto-e5-play/</t>
  </si>
  <si>
    <t>BATERIA RC MOTO E6 PLUS/ KC40</t>
  </si>
  <si>
    <t>H:\OneDrive\TRABAJOS\TAO Accesorios\web reina\imagenes\BATERIA_RC_MOTO_E6_PLUS_KC40.jpg</t>
  </si>
  <si>
    <t>https://reinaelectronica.com.ar/producto/bateria-rc-moto-e6-plus-kc40/</t>
  </si>
  <si>
    <t>BATERIA RC MOTO G5</t>
  </si>
  <si>
    <t>H:\OneDrive\TRABAJOS\TAO Accesorios\web reina\imagenes\BATERIA_RC_MOTO_G5.jpg</t>
  </si>
  <si>
    <t>https://reinaelectronica.com.ar/producto/bateria-rc-moto-g5/</t>
  </si>
  <si>
    <t>BATERIA RC S3 MINI</t>
  </si>
  <si>
    <t>H:\OneDrive\TRABAJOS\TAO Accesorios\web reina\imagenes\BATERIA_RC_S3_MINI.jpg</t>
  </si>
  <si>
    <t>https://reinaelectronica.com.ar/producto/bateria-rc-s3-mini/</t>
  </si>
  <si>
    <t>MICROFONO F9 IPHONE INALAMBRICO LEGATUS</t>
  </si>
  <si>
    <t>H:\OneDrive\TRABAJOS\TAO Accesorios\web reina\imagenes\MICROFONO_F9_IPHONE_INALAMBRICO_LEGATUS.png</t>
  </si>
  <si>
    <t>https://reinaelectronica.com.ar/producto/microfono-f9-iphone-inalambrico-legatus/</t>
  </si>
  <si>
    <t>MICROFONO F9 TIPO C</t>
  </si>
  <si>
    <t>H:\OneDrive\TRABAJOS\TAO Accesorios\web reina\imagenes\MICROFONO_F9_TIPO_C.png</t>
  </si>
  <si>
    <t>https://reinaelectronica.com.ar/producto/microfono-f9-tipo-c/</t>
  </si>
  <si>
    <t>MUÑECO SORPRESA SONNY ANGELS</t>
  </si>
  <si>
    <t>H:\OneDrive\TRABAJOS\TAO Accesorios\web reina\imagenes\MUÑECO_SORPRESA_SONNY_ANGELS.jpg</t>
  </si>
  <si>
    <t>https://reinaelectronica.com.ar/producto/muneco-sorpresa-sonny-angels/</t>
  </si>
  <si>
    <t>Transforma tu celular en un detalle original con los Sonny Angel. Este accesorio añade un toque de estilo único y divertido. Su diseño encantador y colorido atraerá la atención de todos, convirtiendo tu teléfono en un accesorio de moda.  COMPRA MINIMA POR MAYOR 12 UNIDADES</t>
  </si>
  <si>
    <t>OTG 3 EN 1 MICRO TIPO C Y IPHONE</t>
  </si>
  <si>
    <t>H:\OneDrive\TRABAJOS\TAO Accesorios\web reina\imagenes\OTG_3_EN_1_MICRO_TIPO_C_Y_IPHONE.png</t>
  </si>
  <si>
    <t>https://reinaelectronica.com.ar/producto/otg-3-en-1-micro-tipo-c-y-iphone/</t>
  </si>
  <si>
    <t>OTG MICRO</t>
  </si>
  <si>
    <t>H:\OneDrive\TRABAJOS\TAO Accesorios\web reina\imagenes\OTG_MICRO.jpg</t>
  </si>
  <si>
    <t>https://reinaelectronica.com.ar/producto/otg-micro/</t>
  </si>
  <si>
    <t>Apto para transmitir archivos entre un pendrive y tu smartphone o tablet Además sirve para adaptar periféricos como teclados o mouses a una tablet u otros dispositivos compatibles USB 2.0</t>
  </si>
  <si>
    <t>RINGO GRIP HOLDER</t>
  </si>
  <si>
    <t>H:\OneDrive\TRABAJOS\TAO Accesorios\web reina\imagenes\RINGO_GRIP_HOLDER.png</t>
  </si>
  <si>
    <t>https://reinaelectronica.com.ar/producto/ringo-grip-holder/</t>
  </si>
  <si>
    <t>La mejor forma de sacar lindas fotos y grabar videos con manos libres.  Con Ringo Grip pegá tu celu a casi cualquier superficie lisa, como el vidrio, el metal, el espejo, y muchas más.  24 ventosas de silicona y un adhesivo súper fuerte brindan la opción más pegajosa posible.  ¿Cómo se aplica?  1. Limpiá la superficie de tu teléfono.  2. Remové el protector de la cinta y pegalo de acuerdo a tu comodidad.  3. Logra su máxima adherencia al cabo de unas horas.  El adhesivo no alcanza su mejor prestación en superficies de silicona o cuero.</t>
  </si>
  <si>
    <t>RINGO LIP HOLDER</t>
  </si>
  <si>
    <t>H:\OneDrive\TRABAJOS\TAO Accesorios\web reina\imagenes\RINGO_LIP_HOLDER.png</t>
  </si>
  <si>
    <t>https://reinaelectronica.com.ar/producto/ringo-lip-holder-ventosa/</t>
  </si>
  <si>
    <t>DURADERO DISEÑO DE SILICONA – Hecho de material de silicona suave para una mayor durabilidad y un agarre seguro, asegurando que el soporte se mantiene firmemente unido a su teléfono sin que se deslice TACTO SUAVE Y FÁCIL LIMPIEZA – Cuenta con un suave? textura de piel de bebé que se siente cómodo en la mano y es fácil de limpiar? combinando practicidad con un diseño elegante. LÁPIZ DE LABIOS PORTÁTIL – Permite guardar cómodamente el lápiz de labios sobre la marcha, lo que permite retoques rápidos en cualquier momento, al tiempo que añade un accesorio de moda a su teléfono inteligente. COMPATIBILIDAD UNIVERSAL – Diseño universal compatible con la mayoría de los modelos de smartphone? proporcionando una solución versátil para llevar el pintalabios con las manos libres.</t>
  </si>
  <si>
    <t>RINGO STRAP CORTO DE 2CM</t>
  </si>
  <si>
    <t>H:\OneDrive\TRABAJOS\TAO Accesorios\web reina\imagenes\RINGO_STRAP_CORTO_DE_2CM.jpg</t>
  </si>
  <si>
    <t>https://reinaelectronica.com.ar/producto/ringo-strap-corto-de-2cm/</t>
  </si>
  <si>
    <t>RINGO STRAP LARGO DE 2CM</t>
  </si>
  <si>
    <t>H:\OneDrive\TRABAJOS\TAO Accesorios\web reina\imagenes\RINGO_STRAP_LARGO_DE_2CM.jpg</t>
  </si>
  <si>
    <t>https://reinaelectronica.com.ar/producto/ringo-strap-largo-de-2cm/</t>
  </si>
  <si>
    <t>SOPORTE PARA CELULAR RINGO MAG 360°</t>
  </si>
  <si>
    <t>H:\OneDrive\TRABAJOS\TAO Accesorios\web reina\imagenes\SOPORTE_PARA_CELULAR_RINGO_MAG_360.png</t>
  </si>
  <si>
    <t>https://reinaelectronica.com.ar/producto/soporte-para-celular-ringo-mag-360/</t>
  </si>
  <si>
    <t>ACCESSORIES</t>
  </si>
  <si>
    <t>PARLANTES VARIOS 6,5¨</t>
  </si>
  <si>
    <t>H:\OneDrive\TRABAJOS\TAO Accesorios\web reina\imagenes\PARLANTES_VARIOS_65.png</t>
  </si>
  <si>
    <t>https://reinaelectronica.com.ar/producto/parlantes-varios-65%c2%a8/</t>
  </si>
  <si>
    <t>ACCESORIOS INCOMPLETOS</t>
  </si>
  <si>
    <t>ARTICULOS DE TEMPORADA</t>
  </si>
  <si>
    <t>BOTELLA DEPORTIVA TÉRMICA 750ML SPORT</t>
  </si>
  <si>
    <t>H:\OneDrive\TRABAJOS\TAO Accesorios\web reina\imagenes\BOTELLA_DEPORTIVA_TÉRMICA_750ML_SPORT.png</t>
  </si>
  <si>
    <t>https://reinaelectronica.com.ar/producto/botella-deportiva-termica-750ml-sport/</t>
  </si>
  <si>
    <t>PENDRIVE GRABADO 16GB</t>
  </si>
  <si>
    <t>H:\OneDrive\TRABAJOS\TAO Accesorios\web reina\imagenes\PENDRIVE_GRABADO_16GB.png</t>
  </si>
  <si>
    <t>https://reinaelectronica.com.ar/producto/pendrive-grabado-16gb/</t>
  </si>
  <si>
    <t>Adquiere los mejores éxitos 2024/2025 en alta calidad y tenelos siempre a mano para escuchar tu música favorita y llevar la fiesta a todos lados Para el auto, parlante, tv o computadora es ideal para los aficionados a la buena música y público en general</t>
  </si>
  <si>
    <t>AUDIO Y VIDEO</t>
  </si>
  <si>
    <t>SMART TV 42? FULL HD ORYX ISDB-T</t>
  </si>
  <si>
    <t>H:\OneDrive\TRABAJOS\TAO Accesorios\web reina\imagenes\SMART_TV_42_FULL_HD_ORYX_ISDBT.png</t>
  </si>
  <si>
    <t>https://reinaelectronica.com.ar/producto/smart-tv-42-full-hd-oryx-isdb-t/</t>
  </si>
  <si>
    <t>° Tamaño de la pantalla: 42? ° Resolución: FULL HD ° Sistema operativo: Android TV – Google TV ° WIFI ° Bluetooth ° Infinidad de Aplicaciones: Gracias a la Play Store podés descargar todas las aplicaciones que quieras con sus actualizaciones correspondientes, como Disney plus, Stars+, HBO plus, Prime Video, Paramount, Netflix, Youtube, etc.</t>
  </si>
  <si>
    <t>AURICULARES</t>
  </si>
  <si>
    <t>AURICULAR C/CABLE EN BOLSA NEW EP-9850</t>
  </si>
  <si>
    <t>H:\OneDrive\TRABAJOS\TAO Accesorios\web reina\imagenes\AURICULAR_CCABLE_EN_BOLSA_NEW_EP9850.jpg</t>
  </si>
  <si>
    <t>https://reinaelectronica.com.ar/producto/auricular-c-cable-en-bolsa-new-ep-9850/</t>
  </si>
  <si>
    <t>AURICULARES INALAMBRICO E6S</t>
  </si>
  <si>
    <t>H:\OneDrive\TRABAJOS\TAO Accesorios\web reina\imagenes\AURICULARES_INALAMBRICO_E6S.jpg</t>
  </si>
  <si>
    <t>https://reinaelectronica.com.ar/producto/auriculares-inalambrico-e6s/</t>
  </si>
  <si>
    <t>° Sonido superior y sin límites ° Cómodos y prácticos ° Resistentes al agua y al polvo ° Con tecnología TWS que permite una conexión inalámbrica total. Con ella podrás disfrutar del entorno sonoro sin necesidad de estar pendiente de conexiones físicas como cables EN STOCK SOLO NEGRO</t>
  </si>
  <si>
    <t>AURICULARES INALAMBRICOS M25</t>
  </si>
  <si>
    <t>H:\OneDrive\TRABAJOS\TAO Accesorios\web reina\imagenes\AURICULARES_INALAMBRICOS_M25.jpg</t>
  </si>
  <si>
    <t>https://reinaelectronica.com.ar/producto/auriculares-inalambricos-m25/</t>
  </si>
  <si>
    <t>°Llamada de voz Siri °Voz HD °Resistentes al agua °Bateria recargable en un tiempo de 2 horas. ° 5 horas de reproducción independiente. °Distancia de transmisión 10M ° Alimentación Tipo C</t>
  </si>
  <si>
    <t>BELLEZA</t>
  </si>
  <si>
    <t>ANILLO VIBRADOR ROSE ELB0027</t>
  </si>
  <si>
    <t>H:\OneDrive\TRABAJOS\TAO Accesorios\web reina\imagenes\ANILLO_VIBRADOR_ROSE_ELB0027.jpg</t>
  </si>
  <si>
    <t>https://reinaelectronica.com.ar/producto/anillo-vibrador-rose-elb0027/</t>
  </si>
  <si>
    <t>El vibrador de clítoris con forma de rosa desata poderosas vibraciones cuando lo mueves con fuerza contra su clítoris. Experimenta una explosión de placer sincronizado, ya que todas las zonas erógenas se estimulan simultáneamente, llevándoos a ambos al borde del éxtasis.</t>
  </si>
  <si>
    <t>CORTADORA DE FIAMBRE SUONO HOG0206</t>
  </si>
  <si>
    <t>H:\OneDrive\TRABAJOS\TAO Accesorios\web reina\imagenes\CORTADORA_DE_FIAMBRE_SUONO_HOG0206.jpg</t>
  </si>
  <si>
    <t>https://reinaelectronica.com.ar/producto/cortadora-de-fiambre-suono-hog0206/</t>
  </si>
  <si>
    <t>° Potencia de 150W ° Disco de acero inoxidable de 190mm ° Espesor máximo de corte: 15mm ° Cuerpo metálico ° Bandeja plástica con detalles en acero inoxidable</t>
  </si>
  <si>
    <t>JUGUETE ESTIMULADOR FEMENINO ELB0031</t>
  </si>
  <si>
    <t>H:\OneDrive\TRABAJOS\TAO Accesorios\web reina\imagenes\JUGUETE_ESTIMULADOR_FEMENINO_ELB0031.jpg</t>
  </si>
  <si>
    <t>https://reinaelectronica.com.ar/producto/juguete-estimulador-femenino-elb0031/</t>
  </si>
  <si>
    <t>° Material silicona, suave y resistente al agua ° 10 niveles de potencia ° Duración de batería hasta 120 minutos ° Doble discreción evitando momentos vergonzosos ° Incluye cable USB tipo C ° Diseño único, fácil de limpiar</t>
  </si>
  <si>
    <t>ORGANIZADOR MAQUILLAJE C/ESPEJO XR-6620</t>
  </si>
  <si>
    <t>H:\OneDrive\TRABAJOS\TAO Accesorios\web reina\imagenes\ORGANIZADOR_MAQUILLAJE_CESPEJO_XR6620.jpg</t>
  </si>
  <si>
    <t>https://reinaelectronica.com.ar/producto/organizador-maquillaje-c-espejo-xr-6620/</t>
  </si>
  <si>
    <t>° Con un diseño elegante en cuero, este maletín cuenta con 7 compartimentos y 1 bandeja desplegable, permitiendo un acceso fácil y rápido a todos tus productos de maquillaje ° Iluminación LED cálida, fría y neutra con control táctil proporciona una visibilidad óptima, asegurando que cada aplicación de maquillaje sea precisa y profesional ° Posee una gran capacidad gracias a la profundidad de 11 cm y distribución en 2 secciones que permiten una organización eficiente, manteniendo tus productos en perfecto estado ° Tamaño compacto, fácil de transportar y almacenar</t>
  </si>
  <si>
    <t>CABLES</t>
  </si>
  <si>
    <t>CABLE USB IBEK MICRO 3.1A CORDON</t>
  </si>
  <si>
    <t>H:\OneDrive\TRABAJOS\TAO Accesorios\web reina\imagenes\CABLE_USB_IBEK_MICRO_31A_CORDON.jpg</t>
  </si>
  <si>
    <t>https://reinaelectronica.com.ar/producto/cable-usb-ibek-micro-3-1a-cordon/</t>
  </si>
  <si>
    <t>CABLE USB IBEK TIPO C 3.1A CORDON</t>
  </si>
  <si>
    <t>H:\OneDrive\TRABAJOS\TAO Accesorios\web reina\imagenes\CABLE_USB_IBEK_TIPO_C_31A_CORDON.jpg</t>
  </si>
  <si>
    <t>https://reinaelectronica.com.ar/producto/cable-usb-ibek-tipo-c-3-1a-cordon/</t>
  </si>
  <si>
    <t>CARGADOR PARA AUTO</t>
  </si>
  <si>
    <t>CARGADOR P/ AUTO LEGATUS 5016 MICRO</t>
  </si>
  <si>
    <t>H:\OneDrive\TRABAJOS\TAO Accesorios\web reina\imagenes\CARGADOR_P_AUTO_LEGATUS_5016_MICRO.png</t>
  </si>
  <si>
    <t>https://reinaelectronica.com.ar/producto/cargador-p-auto-legatus-5016-micro/</t>
  </si>
  <si>
    <t>Cuenta con tipo de conector USB-micro El voltaje de entrada es de 220V. El voltaje de salida es de 5V. Incluye cable.</t>
  </si>
  <si>
    <t>CARGADOR P/AUTO IBEK 5.1A 20W AU-401</t>
  </si>
  <si>
    <t>H:\OneDrive\TRABAJOS\TAO Accesorios\web reina\imagenes\CARGADOR_PAUTO_IBEK_51A_20W_AU401.jpg</t>
  </si>
  <si>
    <t>https://reinaelectronica.com.ar/producto/cargador-p-auto-ibek-5-1a-20w-au-401/</t>
  </si>
  <si>
    <t>°Salida doble USB y tipo C °Cable tipo C °Carga rápida °Potencia de 20w</t>
  </si>
  <si>
    <t>CARGADOR PARA AUTO TIPO C 30W</t>
  </si>
  <si>
    <t>H:\OneDrive\TRABAJOS\TAO Accesorios\web reina\imagenes\CARGADOR_PARA_AUTO_TIPO_C_30W.png</t>
  </si>
  <si>
    <t>https://reinaelectronica.com.ar/producto/cargador-para-auto-tipo-c-30w/</t>
  </si>
  <si>
    <t>CARGADORES</t>
  </si>
  <si>
    <t>CABEZALES 3 ENTRADAS POWER 3.0 55W</t>
  </si>
  <si>
    <t>H:\OneDrive\TRABAJOS\TAO Accesorios\web reina\imagenes\CABEZALES_3_ENTRADAS_POWER_30_55W.jpg</t>
  </si>
  <si>
    <t>https://reinaelectronica.com.ar/producto/cabezales-3-entradas-power-3-0-55w/</t>
  </si>
  <si>
    <t>°3 puertos en total: 1 Puerto USB QC 3.0, 1 Puerto USB 3.5 A y Puerto Tipo C con tecnología PD °Regulacion automatica de voltaje °Certificación Ce, RoHS y FCC °Voltaje de entrada 12 a 32 VDC °Potencia total de Salida: 55 Watts °Voltaje de Salida: 5V/3.1A, 9V/2.0A, 12V/2.0A °Protecciones: Sobre carga y corto circuitos, gestionado por Chip de seguridad. °Colores: negro-blanco °Posee luz LED indicador de funcionamiento °Fabricado en PC + ABS ignifugo</t>
  </si>
  <si>
    <t>CARGADOR DE PARED LEGATUS 2.4A MICRO</t>
  </si>
  <si>
    <t>H:\OneDrive\TRABAJOS\TAO Accesorios\web reina\imagenes\CARGADOR_DE_PARED_LEGATUS_24A_MICRO.png</t>
  </si>
  <si>
    <t>https://reinaelectronica.com.ar/producto/cargador-de-pared-legatus-2-4a-micro/</t>
  </si>
  <si>
    <t>•Modelo RC 5002400D •Carga rápida •Cargador con cable + 1 puerto USB •Protección contra sobretensiones •Disponible en muchos colores</t>
  </si>
  <si>
    <t>CARGADOR INALAMBRICO FANTASY Q! W91</t>
  </si>
  <si>
    <t>H:\OneDrive\TRABAJOS\TAO Accesorios\web reina\imagenes\CARGADOR_INALAMBRICO_FANTASY_Q_W91.png</t>
  </si>
  <si>
    <t>https://reinaelectronica.com.ar/producto/cargador-inalambrico-fantasy-q-w91/</t>
  </si>
  <si>
    <t>•Tecnología inalámbrica Qi. •Carga rápida: 10W . •Distancia de transmisión: 5-10mm. •Luz Led: Indicador de carga (Rojo: sin carga, Azul: Cargando, Verde: Carga completa). •Base antideslizante. •Protección IC de seguridad múltiple.</t>
  </si>
  <si>
    <t>CARGADOR LEGATUS 2.4A MICRO</t>
  </si>
  <si>
    <t>H:\OneDrive\TRABAJOS\TAO Accesorios\web reina\imagenes\CARGADOR_LEGATUS_24A_MICRO.jpg</t>
  </si>
  <si>
    <t>https://reinaelectronica.com.ar/producto/cargador-legatus-2-4a-micro/</t>
  </si>
  <si>
    <t>ADAPTADOR 2.4A CON CABLE MICRO USB RC5002400C LEGATUS ADAPTADOR 2.4A CON CABLE DESMONTABLE CARGA SEGURA CABLE INCLUIDO</t>
  </si>
  <si>
    <t>CARGADOR LEGATUS 2.4A TIPO C</t>
  </si>
  <si>
    <t>H:\OneDrive\TRABAJOS\TAO Accesorios\web reina\imagenes\CARGADOR_LEGATUS_24A_TIPO_C.jpg</t>
  </si>
  <si>
    <t>https://reinaelectronica.com.ar/producto/cargador-legatus-2-4a-tipo-c/</t>
  </si>
  <si>
    <t>ADAPTADOR 2.4A CON CABLE DESMONTABLE CARGA SEGURA CABLE INCLUIDO</t>
  </si>
  <si>
    <t>CARGADOR LEGATUS 3.4 MICRO</t>
  </si>
  <si>
    <t>H:\OneDrive\TRABAJOS\TAO Accesorios\web reina\imagenes\CARGADOR_LEGATUS_34_MICRO.jpg</t>
  </si>
  <si>
    <t>https://reinaelectronica.com.ar/producto/cargador-legatus-3-4-micro/</t>
  </si>
  <si>
    <t>° Carga rápida ° Protección contra sobretensiones ° Protección contra sobrecalentamiento ° Cable desmontable</t>
  </si>
  <si>
    <t>CARGADOR LEGATUS 3.4 TIPO C</t>
  </si>
  <si>
    <t>H:\OneDrive\TRABAJOS\TAO Accesorios\web reina\imagenes\CARGADOR_LEGATUS_34_TIPO_C.jpg</t>
  </si>
  <si>
    <t>https://reinaelectronica.com.ar/producto/cargador-legatus-3-4-tipo-c/</t>
  </si>
  <si>
    <t>° Carga rápida ° Protección contra sobretensiones ° Protección contra sobrecalentamiento ° Cable desmontable ° Disponible en tipo c y micro</t>
  </si>
  <si>
    <t>CARGADOR LEGATUS 5.0A IPHONE</t>
  </si>
  <si>
    <t>H:\OneDrive\TRABAJOS\TAO Accesorios\web reina\imagenes\CARGADOR_LEGATUS_50A_IPHONE.jpg</t>
  </si>
  <si>
    <t>https://reinaelectronica.com.ar/producto/cargador-legatus-5-0a-iphone/</t>
  </si>
  <si>
    <t>° Protección contra sobretensiones ° Protección contra cortocircuito ° Protección de sobrecarga ° Protección contra sobrecalentamiento ° Protección contra descargas excesivas</t>
  </si>
  <si>
    <t>CARGADOR ORYX 3.1A MICRO H5403W</t>
  </si>
  <si>
    <t>H:\OneDrive\TRABAJOS\TAO Accesorios\web reina\imagenes\CARGADOR_ORYX_31A_MICRO_H5403W.jpg</t>
  </si>
  <si>
    <t>https://reinaelectronica.com.ar/producto/cargador-oryx-3-1a-micro-h5403w/</t>
  </si>
  <si>
    <t>Cargador rapido con cable micro usb el cargador ademas tiene 2 puertos usb Carga rapida 3.1a Podes utilizarlo para cagar celulares o tablet.</t>
  </si>
  <si>
    <t>COCINA</t>
  </si>
  <si>
    <t>BATIDOR DE CAFE AV28</t>
  </si>
  <si>
    <t>H:\OneDrive\TRABAJOS\TAO Accesorios\web reina\imagenes\BATIDOR_DE_CAFE_AV28.png</t>
  </si>
  <si>
    <t>https://reinaelectronica.com.ar/producto/batidor-de-cafe-av28/</t>
  </si>
  <si>
    <t>° Tipo: De mano ° Alimentación 2 pilas AA ° Desmontable ° Versátil: Perfecto para mezclar bebidas, batir huevos, hacer aderezos y mucho más ° Portátil y Práctico: Con su tamaño compacto, puedes llevarlo contigo a donde vayas °Varios colores disponibles</t>
  </si>
  <si>
    <t>BOTELLA DE ACERO INOXIDABLE 500ML SUONO</t>
  </si>
  <si>
    <t>H:\OneDrive\TRABAJOS\TAO Accesorios\web reina\imagenes\BOTELLA_DE_ACERO_INOXIDABLE_500ML_SUONO.png</t>
  </si>
  <si>
    <t>https://reinaelectronica.com.ar/producto/botella-de-acero-inoxidable-500ml-suono/</t>
  </si>
  <si>
    <t>CUCHILLOS C/CHAIRA HUIHANG X3 S-2196</t>
  </si>
  <si>
    <t>H:\OneDrive\TRABAJOS\TAO Accesorios\web reina\imagenes\CUCHILLOS_CCHAIRA_HUIHANG_X3_S2196.jpg</t>
  </si>
  <si>
    <t>https://reinaelectronica.com.ar/producto/cuchillos-c-chaira-huihang-x3-s-2196/</t>
  </si>
  <si>
    <t>LAVARROPAS KANJI 6,5KG 800RPM</t>
  </si>
  <si>
    <t>H:\OneDrive\TRABAJOS\TAO Accesorios\web reina\imagenes\LAVARROPAS_KANJI_65KG_800RPM.png</t>
  </si>
  <si>
    <t>https://reinaelectronica.com.ar/producto/lavarropas-kanji-65kg-800rpm/</t>
  </si>
  <si>
    <t>PAVA ELECTRICA BUYTITI/ MORLAN 2L</t>
  </si>
  <si>
    <t>H:\OneDrive\TRABAJOS\TAO Accesorios\web reina\imagenes\PAVA_ELECTRICA_BUYTITI_MORLAN_2L.png</t>
  </si>
  <si>
    <t>https://reinaelectronica.com.ar/producto/pava-electrica-buytiti-morlan-2l/</t>
  </si>
  <si>
    <t>SET DE CUBIERTOS JK-4150</t>
  </si>
  <si>
    <t>H:\OneDrive\TRABAJOS\TAO Accesorios\web reina\imagenes\SET_DE_CUBIERTOS_JK4150.png</t>
  </si>
  <si>
    <t>https://reinaelectronica.com.ar/producto/set-de-cubiertos-jk-4150/</t>
  </si>
  <si>
    <t>SET DE CUBIERTOS JK-4154</t>
  </si>
  <si>
    <t>H:\OneDrive\TRABAJOS\TAO Accesorios\web reina\imagenes\SET_DE_CUBIERTOS_JK4154.png</t>
  </si>
  <si>
    <t>https://reinaelectronica.com.ar/producto/set-de-cubiertos-jk-4154/</t>
  </si>
  <si>
    <t>SET PROFESIONAL X2 CUCHILLO CON CHAIRA</t>
  </si>
  <si>
    <t>H:\OneDrive\TRABAJOS\TAO Accesorios\web reina\imagenes\SET_PROFESIONAL_X2_CUCHILLO_CON_CHAIRA.png</t>
  </si>
  <si>
    <t>https://reinaelectronica.com.ar/producto/set-profesional-x2-cuchillo-con-chaira/</t>
  </si>
  <si>
    <t>VASO DOBLE PARED DE VIDRIO OSR 350ML</t>
  </si>
  <si>
    <t>H:\OneDrive\TRABAJOS\TAO Accesorios\web reina\imagenes\VASO_DOBLE_PARED_DE_VIDRIO_OSR_350ML.png</t>
  </si>
  <si>
    <t>https://reinaelectronica.com.ar/producto/vaso-doble-pared-de-vidrio-osr-350ml/</t>
  </si>
  <si>
    <t>° Capacidad: 350ml – Altura 12cm aprox. ° Material: Vidrio ° Diseño que permite que el color de la bebida brille ° Formado a la perfección: los vasos tienen una forma perfecta con un estilo innovador y un valor de marca inigualable ° Diseñado para ser un vaso multiuso, la base de este vaso proporciona la máxima estabilidad ° Ideal para todo tipo de bebidas ° La forma única del vidrio realza los aromas y sabores ° Apto para lavavajillas</t>
  </si>
  <si>
    <t>VASO TÉRMICO ACERO INOXIDABLE SUONO 1200ML</t>
  </si>
  <si>
    <t>H:\OneDrive\TRABAJOS\TAO Accesorios\web reina\imagenes\VASO_TÉRMICO_ACERO_INOXIDABLE_SUONO_1200ML.png</t>
  </si>
  <si>
    <t>https://reinaelectronica.com.ar/producto/vaso-termico-acero-inoxidable-suono-1200ml-2/</t>
  </si>
  <si>
    <t>FUNDAS</t>
  </si>
  <si>
    <t>ANTISHOCK MAGNETIC</t>
  </si>
  <si>
    <t>H:\OneDrive\TRABAJOS\TAO Accesorios\web reina\imagenes\ANTISHOCK_MAGNETIC.jpg</t>
  </si>
  <si>
    <t>https://reinaelectronica.com.ar/producto/antishock-magnetic/</t>
  </si>
  <si>
    <t>Modelos disponible:  Iphone 12,12 PRO, 13, 13 PRO, 13 PRO MAX, 14 PLUS, 14, 14 PRO, 14 PROMAX, 15 PLUS, 15, 15 pro max,16, 16 PLUS, 16 PRO, 16 PRO MAX, 17, 17 AIR</t>
  </si>
  <si>
    <t>ANTISHOCK TRANSPARENTE IPHONE</t>
  </si>
  <si>
    <t>H:\OneDrive\TRABAJOS\TAO Accesorios\web reina\imagenes\ANTISHOCK_TRANSPARENTE_IPHONE.jpg</t>
  </si>
  <si>
    <t>https://reinaelectronica.com.ar/producto/antishock-transparente-iphone/</t>
  </si>
  <si>
    <t>IPhone IP 7/8 IP 7/8 plus Ip xs Max Ip 11 Ip 11 pro Ip 11 pro Max Ip 12/12pro Ip 12 pro Max Ip 13 Ip 13 mini Ip 13 pro Ip 13 pro Max Ip 14 Ip 14 plus Ip 14 pro Max Ip 15 Ip 15 pro Max Ip 16 Ip 16 pro Max</t>
  </si>
  <si>
    <t>FUNDA ACRILICA CON DISEÑO</t>
  </si>
  <si>
    <t>H:\OneDrive\TRABAJOS\TAO Accesorios\web reina\imagenes\FUNDA_ACRILICA_CON_DISEÑO.jpg</t>
  </si>
  <si>
    <t>https://reinaelectronica.com.ar/producto/funda-acrilica-con-diseno/</t>
  </si>
  <si>
    <t>Modelos disponibles:  Samsung Galaxy A22.</t>
  </si>
  <si>
    <t>FUNDA ANTISHOCK</t>
  </si>
  <si>
    <t>H:\OneDrive\TRABAJOS\TAO Accesorios\web reina\imagenes\FUNDA_ANTISHOCK.jpg</t>
  </si>
  <si>
    <t>https://reinaelectronica.com.ar/producto/funda-antishock/</t>
  </si>
  <si>
    <t>Samsung Galaxy  J2prime,J5prime,j72016,j7prime,j82018,a02s,A03,A04,a05,a05S,a06,a10,a10s,a12,A14,A15,A16,A20/A30,A20S,A225g,a24,A25,A33,A345g,a35,a36,a50/A30s/a50s,a52,a53,A54,a72,A73,S20 fe,s20plus,s20ultra, S21 fe,S22 ultra,s24ultra,S25,s25ultra.  Motorola  E7ipower,e13,e14, E20/e30/E40,g04,g7 play,g8play,g8plus,g10/20/30,g22,g24, g24 power, g31,g34,g51,G52/82,G54,g84,edge20pro,edge30pro,edge40,edge50fusion  Xiaomi  Note134g,14c.</t>
  </si>
  <si>
    <t>FUNDA ASTRONAUTA PLEGABLE</t>
  </si>
  <si>
    <t>H:\OneDrive\TRABAJOS\TAO Accesorios\web reina\imagenes\FUNDA_ASTRONAUTA_PLEGABLE.jpg</t>
  </si>
  <si>
    <t>https://reinaelectronica.com.ar/producto/funda-astronauta-plegable/</t>
  </si>
  <si>
    <t>Modelos disponible:  Samsung: a25.  Motorola: E13,g24, g24 power.  Iphone: 11,12,13,14, 15, 15 pro, 15 pro max.  Xiaomi: 13c,A3.</t>
  </si>
  <si>
    <t>FUNDA CON CUBRE CAMARA</t>
  </si>
  <si>
    <t>H:\OneDrive\TRABAJOS\TAO Accesorios\web reina\imagenes\FUNDA_CON_CUBRE_CAMARA.jpg</t>
  </si>
  <si>
    <t>https://reinaelectronica.com.ar/producto/funda-con-cubre-camara/</t>
  </si>
  <si>
    <t>Modelos disponibles  Samsung Galaxy A72  iPhone 12,12promax,13,13promax</t>
  </si>
  <si>
    <t>FUNDA FLIP COVER</t>
  </si>
  <si>
    <t>H:\OneDrive\TRABAJOS\TAO Accesorios\web reina\imagenes\FUNDA_FLIP_COVER.jpg</t>
  </si>
  <si>
    <t>https://reinaelectronica.com.ar/producto/funda-flip-cover/</t>
  </si>
  <si>
    <t>Samsung galaxy  J1ACE,J2prime,J5prime,J7prime,j72016,J7neo,a03,A03CORE,A20/A30,a21,A21s,A22,A30s/A50/a50s,A32,a33,a34,a54,A72.  Motorola  E5play/go,e6s/e6i,E13,G8power,G9play/E7plus,g9power,G10/20/30,G13/G23,G14,g22,G31,g41,G52/G82,G51,g54,g71.  LG  K50s,k51s/41s.</t>
  </si>
  <si>
    <t>FUNDA MAGSAFE PREMIUM CON TAPA</t>
  </si>
  <si>
    <t>H:\OneDrive\TRABAJOS\TAO Accesorios\web reina\imagenes\FUNDA_MAGSAFE_PREMIUM_CON_TAPA.jpg</t>
  </si>
  <si>
    <t>https://reinaelectronica.com.ar/producto/funda-magsafe-premium-con-tapa/</t>
  </si>
  <si>
    <t>FUNDA MAGSAFE PREMIUM SIMPLE</t>
  </si>
  <si>
    <t>H:\OneDrive\TRABAJOS\TAO Accesorios\web reina\imagenes\FUNDA_MAGSAFE_PREMIUM_SIMPLE.jpg</t>
  </si>
  <si>
    <t>https://reinaelectronica.com.ar/producto/funda-magsafe-premium-simple/</t>
  </si>
  <si>
    <t>Modelos disponible:  Iphone 15 PRO MAX</t>
  </si>
  <si>
    <t>FUNDA PUFFER</t>
  </si>
  <si>
    <t>H:\OneDrive\TRABAJOS\TAO Accesorios\web reina\imagenes\FUNDA_PUFFER.jpg</t>
  </si>
  <si>
    <t>https://reinaelectronica.com.ar/producto/funda-puffer/</t>
  </si>
  <si>
    <t>Modelos disponibles:  Samsung galaxy  A04,A04E,a04s,A14,A24,A34,a54,S23 fe.  Motorola  E13,e22,G13,G14,G52,G82,G84.  Iphone  11,11pro,13,13 pro,13promax,14,14 pro,14 pro max.</t>
  </si>
  <si>
    <t>FUNDA RAINBOW REFORZADA</t>
  </si>
  <si>
    <t>H:\OneDrive\TRABAJOS\TAO Accesorios\web reina\imagenes\FUNDA_RAINBOW_REFORZADA.jpg</t>
  </si>
  <si>
    <t>https://reinaelectronica.com.ar/producto/funda-rainbow-reforzada/</t>
  </si>
  <si>
    <t>Modelos disponibles:  Samsung Galaxy A04s,A22. Motorola e22,e22i,g52/g82</t>
  </si>
  <si>
    <t>FUNDA REFORZADA CON DISEÑO</t>
  </si>
  <si>
    <t>H:\OneDrive\TRABAJOS\TAO Accesorios\web reina\imagenes\FUNDA_REFORZADA_CON_DISEÑO.png</t>
  </si>
  <si>
    <t>https://reinaelectronica.com.ar/producto/funda-reforzada-con-diseno/</t>
  </si>
  <si>
    <t>Samsung Galaxy  J42018,J4PLUS,J4CORE,J62018,J7,J7prime,j82018,a01,A03,A03s,A04,A05,A05s,a06,a11,A12/M12,A13,A14,A15,A16,A20s,A24,A33,A34,A51,a52,A53,A54,A71,A72,S20.  Motorola  onefusion,e5playgo,E6,E7IPOWER,E13,E14,G04s,g7play,G7plus,G7power,G8play,G8powerlite,g9play,G13/23,G14,g32,G52,g60s,g71G100.  XIAOMI  A3,A3x,13C.</t>
  </si>
  <si>
    <t>FUNDA REFORZADA CON DISEÑO FUTBOL</t>
  </si>
  <si>
    <t>H:\OneDrive\TRABAJOS\TAO Accesorios\web reina\imagenes\FUNDA_REFORZADA_CON_DISEÑO_FUTBOL.jpg</t>
  </si>
  <si>
    <t>https://reinaelectronica.com.ar/producto/funda-reforzada-con-diseno-futbol/</t>
  </si>
  <si>
    <t>SAMSUNG: A03,A04,A05,A06,A12,A13,A14,A15,A16.  MOTOROLA: e14,G04,g14,G24,G24 POWER.  REDMI: A3,A3X, NOTE 134g,NOTE 135G,13c,14 C.</t>
  </si>
  <si>
    <t>FUNDA REFORZADA SUBLIMADA</t>
  </si>
  <si>
    <t>H:\OneDrive\TRABAJOS\TAO Accesorios\web reina\imagenes\FUNDA_REFORZADA_SUBLIMADA.jpg</t>
  </si>
  <si>
    <t>https://reinaelectronica.com.ar/producto/funda-reforzada-sublimada/</t>
  </si>
  <si>
    <t>Modelos disponibles:  Samsung Galaxy A33,s22ultra. Iphone12promax,13pro,13promax.</t>
  </si>
  <si>
    <t>FUNDA SILICONE CASE SIN LOGO</t>
  </si>
  <si>
    <t>H:\OneDrive\TRABAJOS\TAO Accesorios\web reina\imagenes\FUNDA_SILICONE_CASE_SIN_LOGO.jpg</t>
  </si>
  <si>
    <t>https://reinaelectronica.com.ar/producto/funda-silicone-case-sin-logo/</t>
  </si>
  <si>
    <t>SAMSUNG  J2 prime, j72016,J7prime, a03,a03s,a04,a04e, a05,a05s,a14,a21s,a 22, a24 4g,A30s,A33, a34, a53, a54,s20fe, s20 ultra, s20 plus, s21 fe, s22 ultra,s23fe,s23ultra, s24fe.  Motorola  ONE FUSION,E7i power,E13,E22/e22i,e32,e40,g8play, g13/g23, g14,g24 power,g31,g41,g34,g42,G54,g60s, g71,g72,g84, g100,edge30,EDGE30 NEO,EDGE30 PRO, edge30ultra, edge40,EDGE 50 FUSION,EDGE 50 PRO,EDGE 50 ULTRA  Iphone  X/XS, XS max,xr,6g,11,11 pro,12,12 pro,13 promax,14, 14 pro,15,15pro,15 pro MAX.</t>
  </si>
  <si>
    <t>FUNDA SILICONE CASE TEXTURADA</t>
  </si>
  <si>
    <t>H:\OneDrive\TRABAJOS\TAO Accesorios\web reina\imagenes\FUNDA_SILICONE_CASE_TEXTURADA.png</t>
  </si>
  <si>
    <t>https://reinaelectronica.com.ar/producto/funda-silicone-case-texturada/</t>
  </si>
  <si>
    <t>FUNDA TEXTURADA CON STRAP</t>
  </si>
  <si>
    <t>H:\OneDrive\TRABAJOS\TAO Accesorios\web reina\imagenes\FUNDA_TEXTURADA_CON_STRAP.jpg</t>
  </si>
  <si>
    <t>https://reinaelectronica.com.ar/producto/funda-texturada-con-strap/</t>
  </si>
  <si>
    <t>Samsung galaxy  s21fe, s22ultra.  iPhone  12,12pro,12promax,13promax.</t>
  </si>
  <si>
    <t>FUNDAS GLITTER</t>
  </si>
  <si>
    <t>H:\OneDrive\TRABAJOS\TAO Accesorios\web reina\imagenes\FUNDAS_GLITTER.jpg</t>
  </si>
  <si>
    <t>https://reinaelectronica.com.ar/producto/fundas-glitter/</t>
  </si>
  <si>
    <t>Samsung Galaxy  A03, A04, A05, A05s, A14, A24, A34, A54,S21fe  Motorola  E14, E22,G14,G24, G84  IPhone  15,15pro.  Xiaomi  A3, a3x,note13 4g, 13c.</t>
  </si>
  <si>
    <t>FUNDAS NACIONALES CON DISEÑO</t>
  </si>
  <si>
    <t>H:\OneDrive\TRABAJOS\TAO Accesorios\web reina\imagenes\FUNDAS_NACIONALES_CON_DISEÑO.jpg</t>
  </si>
  <si>
    <t>https://reinaelectronica.com.ar/producto/fundas-nacionales-con-diseno/</t>
  </si>
  <si>
    <t>Modelos disponibles:  Samsung galaxy A03,A03core,A04s,a12,A22,A23,A33,a53. Motorola E22,e32,g22.</t>
  </si>
  <si>
    <t>SILICONE CASE CON TIRA</t>
  </si>
  <si>
    <t>H:\OneDrive\TRABAJOS\TAO Accesorios\web reina\imagenes\SILICONE_CASE_CON_TIRA.jpg</t>
  </si>
  <si>
    <t>https://reinaelectronica.com.ar/producto/silicone-case-con-tira/</t>
  </si>
  <si>
    <t>Samsung Galaxy  A03,a22,s20fe,S21FE.  Motorola  12,12promax,13, 13promax, 14,14pro,14promax.</t>
  </si>
  <si>
    <t>SILICONE CASE RIVER Y BOCA</t>
  </si>
  <si>
    <t>H:\OneDrive\TRABAJOS\TAO Accesorios\web reina\imagenes\SILICONE_CASE_RIVER_Y_BOCA.jpg</t>
  </si>
  <si>
    <t>https://reinaelectronica.com.ar/producto/silicone-case-river-y-boca/</t>
  </si>
  <si>
    <t>TEMPLADO 9D ANTIESPIA</t>
  </si>
  <si>
    <t>H:\OneDrive\TRABAJOS\TAO Accesorios\web reina\imagenes\TEMPLADO_9D_ANTIESPIA.jpg</t>
  </si>
  <si>
    <t>https://reinaelectronica.com.ar/producto/templado-9d-antiespia/</t>
  </si>
  <si>
    <t>SAMSUNG:A04,A05,A05s,A06,A14  IPHONE 13 ,14,15 ,15 pro,16,16 pro,16 pro max  REDMI 12c,13c,14c.  MOTOROLA:G14.</t>
  </si>
  <si>
    <t>TPU MAGSAFE DE COLORES</t>
  </si>
  <si>
    <t>H:\OneDrive\TRABAJOS\TAO Accesorios\web reina\imagenes\TPU_MAGSAFE_DE_COLORES.png</t>
  </si>
  <si>
    <t>https://reinaelectronica.com.ar/producto/tpu-magsafe-de-colores/</t>
  </si>
  <si>
    <t>Modelos Disponibles  Samsung Galaxy S24fe,s25,s25plus,s25ultra.  Iphone 11,11pro,11promax,12,12pro,12promax,13,13pro,13promax,14,14pro,14promax,14plus,15,15pro,15promax,15plus,16,16pro,16promax,16plus.  ¡Consultá colores disponibles!</t>
  </si>
  <si>
    <t>TPU STITCH PREMIUM</t>
  </si>
  <si>
    <t>H:\OneDrive\TRABAJOS\TAO Accesorios\web reina\imagenes\TPU_STITCH_PREMIUM.png</t>
  </si>
  <si>
    <t>https://reinaelectronica.com.ar/producto/tpu-stitch-premium/</t>
  </si>
  <si>
    <t>Modelos disponibles: SAMSUNG: A05,A06,A16 XIAOMI: 13C, 14C  VARIOS COLORES DISPONIBLES</t>
  </si>
  <si>
    <t>GAMER</t>
  </si>
  <si>
    <t>SILLA GAMER KANJI KJ-700T-BB</t>
  </si>
  <si>
    <t>H:\OneDrive\TRABAJOS\TAO Accesorios\web reina\imagenes\SILLA_GAMER_KANJI_KJ700TBB.webp</t>
  </si>
  <si>
    <t>https://reinaelectronica.com.ar/producto/silla-gamer-kanji-kj-700t-bb/</t>
  </si>
  <si>
    <t>Unidades por pack: 1 Material del tapizado: Cuero sintético Cómodos apoyabrazos. Con ruedas. Giratoria. Peso máximo soportado: 130kg.</t>
  </si>
  <si>
    <t>GRIFERÍA</t>
  </si>
  <si>
    <t>CANILLA MONOCOMANDO ORYX 265A NEGRO</t>
  </si>
  <si>
    <t>H:\OneDrive\TRABAJOS\TAO Accesorios\web reina\imagenes\CANILLA_MONOCOMANDO_ORYX_265A_NEGRO.png</t>
  </si>
  <si>
    <t>https://reinaelectronica.com.ar/producto/canilla-monocomando-oryx-265a-negro/</t>
  </si>
  <si>
    <t>•Material: Metal •Aireador espumante incorporado •Acabado negro mate</t>
  </si>
  <si>
    <t>HERRAMIENTAS</t>
  </si>
  <si>
    <t>ASPIRADORA INDUSTRIAL ORYX 15L</t>
  </si>
  <si>
    <t>H:\OneDrive\TRABAJOS\TAO Accesorios\web reina\imagenes\ASPIRADORA_INDUSTRIAL_ORYX_15L.png</t>
  </si>
  <si>
    <t>https://reinaelectronica.com.ar/producto/aspiradora-in-dustrial-oryx-15l/</t>
  </si>
  <si>
    <t>DISCO FLAP 100 MM A100</t>
  </si>
  <si>
    <t>H:\OneDrive\TRABAJOS\TAO Accesorios\web reina\imagenes\DISCO_FLAP_100_MM_A100.jpg</t>
  </si>
  <si>
    <t>https://reinaelectronica.com.ar/producto/disco-flap-100-mm-a100/</t>
  </si>
  <si>
    <t>DISCO FLAP 120MM A120</t>
  </si>
  <si>
    <t>H:\OneDrive\TRABAJOS\TAO Accesorios\web reina\imagenes\DISCO_FLAP_120MM_A120.jpg</t>
  </si>
  <si>
    <t>https://reinaelectronica.com.ar/producto/disco-flap-120mm-a120/</t>
  </si>
  <si>
    <t>DISCO FLAP 40MM A40</t>
  </si>
  <si>
    <t>H:\OneDrive\TRABAJOS\TAO Accesorios\web reina\imagenes\DISCO_FLAP_40MM_A40.jpg</t>
  </si>
  <si>
    <t>https://reinaelectronica.com.ar/producto/disco-flap-40mm-a40/</t>
  </si>
  <si>
    <t>DISCO FLAP 80MM A80</t>
  </si>
  <si>
    <t>H:\OneDrive\TRABAJOS\TAO Accesorios\web reina\imagenes\DISCO_FLAP_80MM_A80.jpg</t>
  </si>
  <si>
    <t>https://reinaelectronica.com.ar/producto/disco-flap-80mm-a80/</t>
  </si>
  <si>
    <t>DISCO FLAP P/ CORTAR MADERA DMA115</t>
  </si>
  <si>
    <t>H:\OneDrive\TRABAJOS\TAO Accesorios\web reina\imagenes\DISCO_FLAP_P_CORTAR_MADERA_DMA115.png</t>
  </si>
  <si>
    <t>https://reinaelectronica.com.ar/producto/disco-flap-p-cortar-madera-dma115/</t>
  </si>
  <si>
    <t>•Peso: 0.1kg.  •Tipo de corte: de corte.  •El complemento ideal para tus trabajos  •Calidad asegurada  •El material tal como madera es apto para esta herramienta, debido a la calidad, eficacia y resistencia que posee.</t>
  </si>
  <si>
    <t>DISCO FLAP P/ CORTAR MADERA DMA117</t>
  </si>
  <si>
    <t>H:\OneDrive\TRABAJOS\TAO Accesorios\web reina\imagenes\DISCO_FLAP_P_CORTAR_MADERA_DMA117.png</t>
  </si>
  <si>
    <t>https://reinaelectronica.com.ar/producto/disco-flap-p-cortar-madera-dma117/</t>
  </si>
  <si>
    <t>PINZA PUÑETAZO SACABOCADO HOLE PUNCH ROJ</t>
  </si>
  <si>
    <t>H:\OneDrive\TRABAJOS\TAO Accesorios\web reina\imagenes\PINZA_PUÑETAZO_SACABOCADO_HOLE_PUNCH_ROJ.jpg</t>
  </si>
  <si>
    <t>https://reinaelectronica.com.ar/producto/pinza-punetazo-sacabocado-hole-punch-roj/</t>
  </si>
  <si>
    <t>Su diámetro máximo de perforación de 6 cm y mínimo de 3 cm te permite adaptarla a diferentes tamaños de broches. Además, cuenta con 6 punzones para que puedas realizar múltiples perforaciones sin problemas. Con esta pinza, podrás crear tus propias piezas de cuero de manera fácil y profesional.</t>
  </si>
  <si>
    <t>PINZA UNIVERSAL 8?MANGO NAEANJA C/NEGRO</t>
  </si>
  <si>
    <t>H:\OneDrive\TRABAJOS\TAO Accesorios\web reina\imagenes\PINZA_UNIVERSAL_8MANGO_NAEANJA_CNEGRO.jpg</t>
  </si>
  <si>
    <t>https://reinaelectronica.com.ar/producto/pinza-universal-8mango-naeanja-c-negro/</t>
  </si>
  <si>
    <t>• Mango aislante. • Material: Cromo.</t>
  </si>
  <si>
    <t>PINZAS PUNETAZO SACABOCADO JC821110</t>
  </si>
  <si>
    <t>H:\OneDrive\TRABAJOS\TAO Accesorios\web reina\imagenes\PINZAS_PUNETAZO_SACABOCADO_JC821110.png</t>
  </si>
  <si>
    <t>https://reinaelectronica.com.ar/producto/pinzas-punetazo-sacabocado-jc821110/</t>
  </si>
  <si>
    <t>• Agujerea cuero, tela, plástico, cartón, goma, etc • Diámetros de corte: 2mm – 2,5mm – 3mm – 4mm y 4,5mm • Coloca broches y ojales • Gran calidad</t>
  </si>
  <si>
    <t>PISTOLA DE CALOR ORYX EL 676 2000W</t>
  </si>
  <si>
    <t>H:\OneDrive\TRABAJOS\TAO Accesorios\web reina\imagenes\PISTOLA_DE_CALOR_ORYX_EL_676_2000W.png</t>
  </si>
  <si>
    <t>https://reinaelectronica.com.ar/producto/pistola-de-calor-oryx-el-676-2000w/</t>
  </si>
  <si>
    <t>•Diseño ergonómico y liviano. •Dos velocidades de aire. •Temperatura hasta 600 grados. •Protección de sobrecalentamiento. •Potente motor de 2000 W. •Ajuste de calor variable •Temperatura Minima 60 grados •Temperatura Maxima 600 grados •Peso 0,6 kilos. •Incluye difusor</t>
  </si>
  <si>
    <t>PULVERIZADOR A PRESIÓN 5L ORYX</t>
  </si>
  <si>
    <t>H:\OneDrive\TRABAJOS\TAO Accesorios\web reina\imagenes\PULVERIZADOR_A_PRESIÓN_5L_ORYX.png</t>
  </si>
  <si>
    <t>https://reinaelectronica.com.ar/producto/pulverizador-a-presion-5l-oryx/</t>
  </si>
  <si>
    <t>SOLDADORA INVERTER ORYX OR-300WD</t>
  </si>
  <si>
    <t>H:\OneDrive\TRABAJOS\TAO Accesorios\web reina\imagenes\SOLDADORA_INVERTER_ORYX_OR300WD.png</t>
  </si>
  <si>
    <t>https://reinaelectronica.com.ar/producto/soldadora-inverter-oryx-or-300wd/</t>
  </si>
  <si>
    <t>HOGAR</t>
  </si>
  <si>
    <t>JUEGO DE SABANAS KING EL-KS274</t>
  </si>
  <si>
    <t>H:\OneDrive\TRABAJOS\TAO Accesorios\web reina\imagenes\JUEGO_DE_SABANAS_KING_ELKS274.jpg</t>
  </si>
  <si>
    <t>https://reinaelectronica.com.ar/producto/juego-de-sabanas-king-el-ks274/</t>
  </si>
  <si>
    <t>° Tamaño: 1 Sábana plana 274x274cm 1 Cubre colchón 182x200cm + 40cm 2 Cubre almohada 80x50cm ° Diseño liso y rallado ° Varios colores disponibles ° Incluye 4 piezas ° Lavado: Lavar con agua fría – No usar secadora ni lavandina – Planchar a temperatura baja</t>
  </si>
  <si>
    <t>JUEGOS DE SABANAS QUEEN EL-QS230</t>
  </si>
  <si>
    <t>H:\OneDrive\TRABAJOS\TAO Accesorios\web reina\imagenes\JUEGOS_DE_SABANAS_QUEEN_ELQS230.jpg</t>
  </si>
  <si>
    <t>https://reinaelectronica.com.ar/producto/juegos-de-sabanas-queen-el-qs230/</t>
  </si>
  <si>
    <t>° Tamaño: 1 Sábana plana 230x250cm 1 Cubre colchón 160x200cm + 35cm 2 Cubre almohada 80x50cm ° Diseño liso y rallado ° Varios colores disponibles ° Incluye 4 piezas ° Lavado: Lavar con agua fría – No usar secadora ni lavandina – Planchar a temperatura baja</t>
  </si>
  <si>
    <t>LICUADORA PORTATIL HM-03</t>
  </si>
  <si>
    <t>H:\OneDrive\TRABAJOS\TAO Accesorios\web reina\imagenes\LICUADORA_PORTATIL_HM03.jpg</t>
  </si>
  <si>
    <t>https://reinaelectronica.com.ar/producto/licuadora-portatil-hm-03/</t>
  </si>
  <si>
    <t>Material de la jarra: PVC Voltaje: 3.7V Cuchilla resistente de acero inoxidable. Carga por USB. Incluye cable micro usb. Cantidad de cuchillas: 6.</t>
  </si>
  <si>
    <t>MANTA TERMICA ELECTRICA USB ORYX</t>
  </si>
  <si>
    <t>H:\OneDrive\TRABAJOS\TAO Accesorios\web reina\imagenes\MANTA_TERMICA_ELECTRICA_USB_ORYX.jpg</t>
  </si>
  <si>
    <t>https://reinaelectronica.com.ar/producto/manta-termica-electrica-usb-oryx/</t>
  </si>
  <si>
    <t>°Medidas 160cm x 140cm °3 opciones de calefaccion °Calentamiento rápido °Desmontable y ajustable °Lavable °Selector de temperatura</t>
  </si>
  <si>
    <t>MANTA TERMICA USB ORYX OR-EB1 1 PLAZA</t>
  </si>
  <si>
    <t>H:\OneDrive\TRABAJOS\TAO Accesorios\web reina\imagenes\MANTA_TERMICA_USB_ORYX_OREB1_1_PLAZA.jpg</t>
  </si>
  <si>
    <t>https://reinaelectronica.com.ar/producto/manta-termica-usb-oryx-or-eb1-1-plaza/</t>
  </si>
  <si>
    <t>°Medidas 150cm x 80cm °3 opciones de calefaccion °Calentamiento rápido °Desmontable y ajustable °Lavable °Selector de temperatura</t>
  </si>
  <si>
    <t>SÁBANAS ORYX QUEEN SIZE</t>
  </si>
  <si>
    <t>H:\OneDrive\TRABAJOS\TAO Accesorios\web reina\imagenes\SÁBANAS_ORYX_QUEEN_SIZE.png</t>
  </si>
  <si>
    <t>https://reinaelectronica.com.ar/producto/sabanas-oryx-queen-size/</t>
  </si>
  <si>
    <t>TENDER 8 VARILLAS</t>
  </si>
  <si>
    <t>H:\OneDrive\TRABAJOS\TAO Accesorios\web reina\imagenes\TENDER_8_VARILLAS.png</t>
  </si>
  <si>
    <t>https://reinaelectronica.com.ar/producto/tender-8-varillas/</t>
  </si>
  <si>
    <t>TENDER 8 VARILLAS CON ALAS</t>
  </si>
  <si>
    <t>H:\OneDrive\TRABAJOS\TAO Accesorios\web reina\imagenes\TENDER_8_VARILLAS_CON_ALAS.png</t>
  </si>
  <si>
    <t>https://reinaelectronica.com.ar/producto/tender-8-varillas-con-alas/</t>
  </si>
  <si>
    <t>TENDER EXTENSIBLE 60 CM</t>
  </si>
  <si>
    <t>H:\OneDrive\TRABAJOS\TAO Accesorios\web reina\imagenes\TENDER_EXTENSIBLE_60_CM.png</t>
  </si>
  <si>
    <t>https://reinaelectronica.com.ar/producto/tender-extensible-60-cm/</t>
  </si>
  <si>
    <t>TENDER VERTICAL 3 NIVELES</t>
  </si>
  <si>
    <t>H:\OneDrive\TRABAJOS\TAO Accesorios\web reina\imagenes\TENDER_VERTICAL_3_NIVELES.png</t>
  </si>
  <si>
    <t>https://reinaelectronica.com.ar/producto/tender-vertical-3-niveles/</t>
  </si>
  <si>
    <t>° Máxima optimización de espacio ° Con alas desplegables ° Soporta hasta 40kg ° 3 niveles ° Con varillas reforzadas ° Con ruedas bloqueables ° Incluye 2 barras laterales para colgar camisas y prendas pequeñas ° Armado en pocos minutos ° Medidas: 170cm x 75cm x 64cm</t>
  </si>
  <si>
    <t>VENTILADOR DE TECHO CON LAMPARA ORYX</t>
  </si>
  <si>
    <t>H:\OneDrive\TRABAJOS\TAO Accesorios\web reina\imagenes\VENTILADOR_DE_TECHO_CON_LAMPARA_ORYX.png</t>
  </si>
  <si>
    <t>https://reinaelectronica.com.ar/producto/ventilador-de-techo-con-lampara-oryx/</t>
  </si>
  <si>
    <t>•Luz led (fría, media y cálida) •6 velocidades •Voltaje 220V •35W •Función retráctil •MODO VERANO El aire circula hacia abajo produciendo una brisa fresca •MODO INVIERNO Un flujo de aire ascendente empuja el aire caliente del techo hacia abajo •Incluye control remoto</t>
  </si>
  <si>
    <t>VENTILADOR DE TECHO CON LUMINARIA 24? ORYX</t>
  </si>
  <si>
    <t>H:\OneDrive\TRABAJOS\TAO Accesorios\web reina\imagenes\VENTILADOR_DE_TECHO_CON_LUMINARIA_24_ORYX.png</t>
  </si>
  <si>
    <t>https://reinaelectronica.com.ar/producto/ventilador-de-techo-con-luminaria-24-oryx/</t>
  </si>
  <si>
    <t>VENTILADOR ORYX 18? 5 ASPAS 90W</t>
  </si>
  <si>
    <t>H:\OneDrive\TRABAJOS\TAO Accesorios\web reina\imagenes\VENTILADOR_ORYX_18_5_ASPAS_90W.png</t>
  </si>
  <si>
    <t>https://reinaelectronica.com.ar/producto/ventilador-oryx-18-5-aspas-90w/</t>
  </si>
  <si>
    <t>•Línea industrial •Cantidad de paletas: 5 •Apta para mesa, piso o pared •Inclinación y altura ajustable •Gran caudal de aire •Motor silencioso •Base de apoyo firme •Velocidades: 3 •Potencia: 90w •Altura de pie graduable hasta 1,70m</t>
  </si>
  <si>
    <t>ILUMINACIÓN</t>
  </si>
  <si>
    <t>CARTEL LED BARBERIA</t>
  </si>
  <si>
    <t>H:\OneDrive\TRABAJOS\TAO Accesorios\web reina\imagenes\CARTEL_LED_BARBERIA.png</t>
  </si>
  <si>
    <t>https://reinaelectronica.com.ar/producto/cartel-led-barberia/</t>
  </si>
  <si>
    <t>JUGUETERIA</t>
  </si>
  <si>
    <t>LLAVEROS ANIMADOS</t>
  </si>
  <si>
    <t>H:\OneDrive\TRABAJOS\TAO Accesorios\web reina\imagenes\LLAVEROS_ANIMADOS.jpg</t>
  </si>
  <si>
    <t>https://reinaelectronica.com.ar/producto/llaveros-animados/</t>
  </si>
  <si>
    <t>Material de goma flexible y duradero, con correa temática para mayor atractivo.</t>
  </si>
  <si>
    <t>OUTLET</t>
  </si>
  <si>
    <t>CARTERA CROSSBODY CON STRAPS</t>
  </si>
  <si>
    <t>H:\OneDrive\TRABAJOS\TAO Accesorios\web reina\imagenes\CARTERA_CROSSBODY_CON_STRAPS.jpg</t>
  </si>
  <si>
    <t>https://reinaelectronica.com.ar/producto/cartera-crossbody-con-straps/</t>
  </si>
  <si>
    <t>COMBO TECLADO+MOUSE INALAMBRICO MODELOS VARIOS</t>
  </si>
  <si>
    <t>H:\OneDrive\TRABAJOS\TAO Accesorios\web reina\imagenes\COMBO_TECLADOMOUSE_INALAMBRICO_MODELOS_VARIOS.png</t>
  </si>
  <si>
    <t>https://reinaelectronica.com.ar/producto/combo-tecladomouse-inalambrico-hk-09/</t>
  </si>
  <si>
    <t>•Diseño ergonómico ultra delgado •Cómodo y fácil de transportar •Wireless 2.4GHz con alta sensibilidad •Distancia de transmisión hasta 10m •Carga Inteligente •Multicompatibilidad Win/iOS/MAC/Android  VARIOS MODELOS DISPONIBLES</t>
  </si>
  <si>
    <t>PARLANTE BAZOOKA</t>
  </si>
  <si>
    <t>H:\OneDrive\TRABAJOS\TAO Accesorios\web reina\imagenes\PARLANTE_BAZOOKA.jpg</t>
  </si>
  <si>
    <t>https://reinaelectronica.com.ar/producto/parlante-bazooka/</t>
  </si>
  <si>
    <t>PORTA CELULAR CON CORREA GEEKER</t>
  </si>
  <si>
    <t>H:\OneDrive\TRABAJOS\TAO Accesorios\web reina\imagenes\PORTA_CELULAR_CON_CORREA_GEEKER.jpg</t>
  </si>
  <si>
    <t>https://reinaelectronica.com.ar/producto/porta-celular-con-correa-geeker/</t>
  </si>
  <si>
    <t>SOPORTE PARA CELULAR FLEXIBLE</t>
  </si>
  <si>
    <t>H:\OneDrive\TRABAJOS\TAO Accesorios\web reina\imagenes\SOPORTE_PARA_CELULAR_FLEXIBLE.jpg</t>
  </si>
  <si>
    <t>https://reinaelectronica.com.ar/producto/soporte-para-celular-flexible/</t>
  </si>
  <si>
    <t>TEMPLADOS</t>
  </si>
  <si>
    <t>PROTECTOR DE CAMARA TRANSPARENTE</t>
  </si>
  <si>
    <t>H:\OneDrive\TRABAJOS\TAO Accesorios\web reina\imagenes\PROTECTOR_DE_CAMARA_TRANSPARENTE.png</t>
  </si>
  <si>
    <t>https://reinaelectronica.com.ar/producto/protector-de-camara-transparente/</t>
  </si>
  <si>
    <t>Iphone 11 pro,11,pro max,12,12 pro,12 pro max.</t>
  </si>
  <si>
    <t>TEMPLADO 9D</t>
  </si>
  <si>
    <t>H:\OneDrive\TRABAJOS\TAO Accesorios\web reina\imagenes\TEMPLADO_9D.jpg</t>
  </si>
  <si>
    <t>https://reinaelectronica.com.ar/producto/templado-9d/</t>
  </si>
  <si>
    <t>Samsung Galaxy J1ACE,J5prime,J52016,A03,A04,A05/A05s,A06,A12, A13,A14,A15,A16,a22 4g,a22 5g, a23,A34,A53,A54.S20fe,S21FE.  Motorola  Onefusión,Cplus,E5play,e6i/e6s,E14,E20,E22/22i,G5s,G5splus,G6play,G6plus,G7play,g7,g7plus,G8,g8play,G14,G24,g24power,G41,G42,G50,G72,G100,Edge 20/30 pro.  iPhone 6plus,7/8plus,x/XS,XSmax,11,11pro,11promax,12/12pro,12mini,12promax,13mini,13,13pro,13promax,14,14pro,14promax,14plus,15,15pro,15promax.  Xiaomi  A3,A3x,13c,14c,redmi note 13 4g, redmi note 13 5g.  LG  K8,K22,K40s,K42,K50,K51s,K52.</t>
  </si>
  <si>
    <t>TEMPLADO COMUN</t>
  </si>
  <si>
    <t>H:\OneDrive\TRABAJOS\TAO Accesorios\web reina\imagenes\TEMPLADO_COMUN.jpg</t>
  </si>
  <si>
    <t>https://reinaelectronica.com.ar/producto/templado-comun/</t>
  </si>
  <si>
    <t>Samsung Galaxy Samsung Galaxy J1ACE,J42018,J5prime,J52016,A03,A04,A05/A05s,A06,A12, A13,A14,A15,A16,A20,a22 4g,a22 5g, a23,A34,A53,A54.S20fe,S21FE.  Motorola  Onefusión,Cplus,E5play,e6i/e6s,E14,E20,E22/22i,G5s,G5splus,G6play,G6plus,G7play,G8,g8play,G14,G24,g24power,G41,G42,G50,G72,G100,Edge 20/30 pro.  iPhone 6plus,7/8plus,x/XS,XSmax,11,11pro,11promax,12/12pro,12mini,12promax,13mini,13,13pro,13promax,14,14promax,14plus,15,15pro,15promax.  Xiaomi  A3,A3x,13c,14c,redmi note 13 4g, redmi note 13 5g.  LG  K8,K22,K40s,K42,K50,K51s,K52.</t>
  </si>
  <si>
    <t>VIDRIO PROTECTOR PARA CAMARA</t>
  </si>
  <si>
    <t>H:\OneDrive\TRABAJOS\TAO Accesorios\web reina\imagenes\VIDRIO_PROTECTOR_PARA_CAMARA.jpg</t>
  </si>
  <si>
    <t>https://reinaelectronica.com.ar/producto/vidrio-protector-para-camara/</t>
  </si>
  <si>
    <t>Modelos disponibles:  Samsung galaxy  S23 ultra,S24 ultra,S25 ultra.  iPhone  13,13promax,14,14pro,14promax,Ip 15,Ip 15 Pro,Ip 15 pro Max,Ip 16,Ip 16 pro,Ip 16 pro Max</t>
  </si>
  <si>
    <t>UNCATEGORIZED</t>
  </si>
  <si>
    <t>CIGARRILLO BLUETOOTH YOOZ 25.000 PUFF</t>
  </si>
  <si>
    <t>H:\OneDrive\TRABAJOS\TAO Accesorios\web reina\imagenes\CIGARRILLO_BLUETOOTH_YOOZ_25000_PUFF.jpg</t>
  </si>
  <si>
    <t>https://reinaelectronica.com.ar/producto/cigarrillo-bluetooth-yooz-25-000-puff/</t>
  </si>
  <si>
    <t>° 25.000 puffs ° Pantalla táctil máxima ° Con enlace de aplicaciones ° Funcion de llamada ° Vapea con sonido ° Incluye juegos interactivos ° Recargable, ajustable y personalizable para una experiencia premium</t>
  </si>
  <si>
    <t>CIGARRILLO ELECTRONICO 15.000 PUFF PRIV</t>
  </si>
  <si>
    <t>H:\OneDrive\TRABAJOS\TAO Accesorios\web reina\imagenes\CIGARRILLO_ELECTRONICO_15000_PUFF_PRIV.jpg</t>
  </si>
  <si>
    <t>https://reinaelectronica.com.ar/producto/cigarrillo-electronico-15-000-puff-priv/</t>
  </si>
  <si>
    <t>° Diseño compacto fácil de llevar ° Con 2 modos para elegir (Normal 15.000 puffs/Turbo 10.000 puffs) ° Panel digital led indica % de batería y % de líquido ° Bateria recargable entrada tipo C ° Diferentes sabores disponibles</t>
  </si>
  <si>
    <t>CIGARRILLO ELECTRONICO FROSTY 25.000PUFF</t>
  </si>
  <si>
    <t>H:\OneDrive\TRABAJOS\TAO Accesorios\web reina\imagenes\CIGARRILLO_ELECTRONICO_FROSTY_25000PUFF.png</t>
  </si>
  <si>
    <t>https://reinaelectronica.com.ar/producto/cigarrillo-electronico-frosty-25-000puff/</t>
  </si>
  <si>
    <t>•Pantalla mega HD táctil •25.000 Puffs •Carga súper rápida •Batería 800 mAh •Flujo de aire ajustable •Bobina de malla doble •5 ajustes de potencia •Muchos sabores para elegir</t>
  </si>
  <si>
    <t>CIGARRILLO LOST ANGEL 10.000/20.000 PUFF</t>
  </si>
  <si>
    <t>H:\OneDrive\TRABAJOS\TAO Accesorios\web reina\imagenes\CIGARRILLO_LOST_ANGEL_1000020000_PUFF.jpg</t>
  </si>
  <si>
    <t>https://reinaelectronica.com.ar/producto/cigarrillo-lost-angel-10-000-20-000-puff/</t>
  </si>
  <si>
    <t>° Puffs (caladas): Hasta 20,000 (Modo Regular) / 10,000 (Modo Pulso) ° Nivel de nicotina: 5% (50mg/ml) ° Contenido de e-líquido: 16ml ° Batería: Integrada y recargable ° Bobina de malla dual ° Puerto de carga USB-C (cable no incluido) ° Activación: Automática (se activa al inhalar)</t>
  </si>
  <si>
    <t>CIGARRILLO NEXBAR 16.000 PUFF</t>
  </si>
  <si>
    <t>H:\OneDrive\TRABAJOS\TAO Accesorios\web reina\imagenes\CIGARRILLO_NEXBAR_16000_PUFF.jpg</t>
  </si>
  <si>
    <t>https://reinaelectronica.com.ar/producto/cigarrillo-nexbar-16-000-puff/</t>
  </si>
  <si>
    <t>ÚTILES ESCOLARES</t>
  </si>
  <si>
    <t>LAPICES DE COLORES X12 CP-120L CON SACAPUNTAS</t>
  </si>
  <si>
    <t>H:\OneDrive\TRABAJOS\TAO Accesorios\web reina\imagenes\LAPICES_DE_COLORES_X12_CP120L_CON_SACAPUNTAS.jpg</t>
  </si>
  <si>
    <t>https://reinaelectronica.com.ar/producto/lapices-de-colores-x12-cp-120l-con-sacapuntas/</t>
  </si>
  <si>
    <t>°Medidas: 17.5 cm de largo. °Colores: surtidos °Cantidad: 12 °Presentación: tubo de plástico °Incluye un sacapuntas</t>
  </si>
  <si>
    <t>SMART TV KANJI 32″</t>
  </si>
  <si>
    <t>H:\OneDrive\TRABAJOS\TAO Accesorios\web reina\imagenes\SMART_TV_KANJI_32.png</t>
  </si>
  <si>
    <t>https://reinaelectronica.com.ar/producto/smart-tv-kanji-32/</t>
  </si>
  <si>
    <t>VENTILADOR DE TECHO CON LUMINARIA 24″ ORYX</t>
  </si>
  <si>
    <t>ULTIMOS DISPONIBLES!</t>
  </si>
  <si>
    <t>OFERTA</t>
  </si>
  <si>
    <t>CARGADOR ROYALCELL 2.4A  MICRO</t>
  </si>
  <si>
    <t>H:\OneDrive\TRABAJOS\TAO Accesorios\catalogo maestro\imagen\CARGADOR ROYALCELL 2.4A  MICRO.jpg</t>
  </si>
  <si>
    <t>CARGADOR ROYALCELL 2.4A  TIPO C</t>
  </si>
  <si>
    <t>CARGADOR 2.4 RC TIPO C</t>
  </si>
  <si>
    <t>H:\OneDrive\TRABAJOS\TAO Accesorios\web reina\imagenes\CARGADOR_24_RC_TIPO_C.jpg</t>
  </si>
  <si>
    <t>https://reinaelectronica.com.ar/producto/cargador-2-4-rc-tipo-c/</t>
  </si>
  <si>
    <t>° Carga rápida ° Cargador con cable + 1 puerto USB ° Protección contra sobretensiones ° Disponible en muchos colores</t>
  </si>
  <si>
    <t>CARGADOR 5.0A ROYALCELL  IP</t>
  </si>
  <si>
    <t>H:\OneDrive\TRABAJOS\TAO Accesorios\catalogo maestro\imagen\CARGADOR 5.0A ROYALCELL.png</t>
  </si>
  <si>
    <t>CARGADOR 5.0A ROYALCELL  TIPO C</t>
  </si>
  <si>
    <t>CARGADOR 5.0A ROYALCELL MICRO</t>
  </si>
  <si>
    <t>CARGADOR ROYALCELL 6A 55W  2 ENTRADAS USB -TIPO C</t>
  </si>
  <si>
    <t>H:\OneDrive\TRABAJOS\TAO Accesorios\catalogo maestro\imagen\CARGADOR ROYALCELL 6A 55W  2 ENTRADAS USB -TIPO C.jpg</t>
  </si>
  <si>
    <t>CABEZAL MOTOROLA 30W USB AV24534</t>
  </si>
  <si>
    <t>H:\OneDrive\TRABAJOS\TAO Accesorios\web reina\imagenes\CABEZAL_MOTOROLA_30W_USB_AV24534.jpg</t>
  </si>
  <si>
    <t>https://reinaelectronica.com.ar/producto/cabezal-motorola-30w-usb-av24534/</t>
  </si>
  <si>
    <t>°Potencia 30 W °Entrada 100-240 V – 50-60 Hz °Saluda: 5.0 V 3.0 A o 9.0 V = 2.77 A °Carga ultrarrápida. °Amplia gama de dispositivos compatibles. °Se conecta a cualquier toma de corriente estándar.</t>
  </si>
  <si>
    <t>CABEZAL MOTOROLA POWER 50 DUO TIPO C</t>
  </si>
  <si>
    <t>H:\OneDrive\TRABAJOS\TAO Accesorios\web reina\imagenes\CABEZAL_MOTOROLA_POWER_50_DUO_TIPO_C.png</t>
  </si>
  <si>
    <t>https://reinaelectronica.com.ar/producto/cargador-motorola-power-50-duo-tipo-c/</t>
  </si>
  <si>
    <t>CARGADOR MOTOROLA 30W TIPO C AV24533</t>
  </si>
  <si>
    <t>H:\OneDrive\TRABAJOS\TAO Accesorios\web reina\imagenes\CARGADOR_MOTOROLA_30W_TIPO_C_AV24533.jpg</t>
  </si>
  <si>
    <t>https://reinaelectronica.com.ar/producto/cargador-motorola-30w-tipo-c-av24533/</t>
  </si>
  <si>
    <t>CABEZAL APPLE TIPO C 20W A1692</t>
  </si>
  <si>
    <t>H:\OneDrive\TRABAJOS\TAO Accesorios\web reina\imagenes\CABEZAL_APPLE_TIPO_C_20W_A1692.jpg</t>
  </si>
  <si>
    <t>https://reinaelectronica.com.ar/producto/cabezal-apple-tipo-c-20w-a1692/</t>
  </si>
  <si>
    <t>CARGADOR APPLE 5W USB-LIGHTING</t>
  </si>
  <si>
    <t>H:\OneDrive\TRABAJOS\TAO Accesorios\web reina\imagenes\CARGADOR_APPLE_5W_USBLIGHTING.jpg</t>
  </si>
  <si>
    <t>https://reinaelectronica.com.ar/producto/cargador-apple-5w-usb-lighting/</t>
  </si>
  <si>
    <t>°Potencia de 5w °Conector de salida: Lightning °Conector de entrada: USB °Largo: 1 Mt °Versión del puerto: 2.0 °Celular compatible: Iphone</t>
  </si>
  <si>
    <t>CARGADOR MAGSAFE APPLE 5000 MAH</t>
  </si>
  <si>
    <t>H:\OneDrive\TRABAJOS\TAO Accesorios\web reina\imagenes\CARGADOR_MAGSAFE_APPLE_5000_MAH.png</t>
  </si>
  <si>
    <t>https://reinaelectronica.com.ar/producto/cargador-magsafe-apple-5000-mah/</t>
  </si>
  <si>
    <t>Mantén tu iPhone cargado todo el día con el Battery Pack MagSafe Certificado para iPhone. Este pack de batería, compatible con la tecnología MagSafe, te permite cargar tu dispositivo de manera rápida y eficiente, sin necesidad de cables ni complicaciones. Gracias a su diseño imantado, el pack se adhiere fácilmente a la parte trasera del iPhone, ofreciendo una carga cómoda y segura donde sea que estés. Es ideal para mantener tu teléfono activo durante largos días de uso, especialmente cuando no tienes acceso a una fuente de energía. Con una construcción robusta y materiales de calidad, este Battery Pack MagSafe asegura una carga fiable y duradera, brindando la autonomía que necesitas para tus actividades diarias. Su tamaño compacto lo hace perfecto para llevarlo siempre en el bolso o mochila, sin añadir peso ni volumen extra. Recargalo cómodamente en cualquier momento y disfruta de la libertad de no preocuparte por la batería de tu dispositivo.</t>
  </si>
  <si>
    <t>CARGADOR P/ AUTO RC 4801 IPHONE</t>
  </si>
  <si>
    <t>H:\OneDrive\TRABAJOS\TAO Accesorios\web reina\imagenes\CARGADOR_P_AUTO_RC_4801_IPHONE.jpg</t>
  </si>
  <si>
    <t>https://reinaelectronica.com.ar/producto/cargador-p-auto-rc-4801-iphone/</t>
  </si>
  <si>
    <t>Dos entradas USB . (3.0A Y 2.4A)  cable USB para iphone  Display Led que marca el voltaje.  Material : Aluminio + Plástico.</t>
  </si>
  <si>
    <t>CARGADOR P/ AUTO RC 4801 MICRO</t>
  </si>
  <si>
    <t>H:\OneDrive\TRABAJOS\TAO Accesorios\web reina\imagenes\CARGADOR_P_AUTO_RC_4801_MICRO.jpg</t>
  </si>
  <si>
    <t>https://reinaelectronica.com.ar/producto/cargador-p-auto-rc-4801-micro/</t>
  </si>
  <si>
    <t>MODELO: CARGA RAPIDA 18W – CARGA: 2A – 18W – ENTRADA: USB – INCLUYE 1 CABLE: 1 METRO – FICHA: USB MICRO</t>
  </si>
  <si>
    <t>CARGADOR P/ AUTO RC 4801 TIPO C</t>
  </si>
  <si>
    <t>H:\OneDrive\TRABAJOS\TAO Accesorios\web reina\imagenes\CARGADOR_P_AUTO_RC_4801_TIPO_C.jpg</t>
  </si>
  <si>
    <t>https://reinaelectronica.com.ar/producto/cargador-p-auto-rc-4801-tipo-c/</t>
  </si>
  <si>
    <t>CARGADOR DE NOTEBOOK LEGATUS LCU120A</t>
  </si>
  <si>
    <t>H:\OneDrive\TRABAJOS\TAO Accesorios\web reina\imagenes\CARGADOR_DE_NOTEBOOK_LEGATUS_LCU120A.png</t>
  </si>
  <si>
    <t>https://reinaelectronica.com.ar/producto/cargador-de-notebook-legatus-lcu120a/</t>
  </si>
  <si>
    <t>•120 watts de potencia •9 puntas intercambiable •Ac adaptador (entrada) 110 a 240v •Multivoltaje de salida ajustable de 12v a 19v/4.5A •Protección contra el sobrecalentamiento</t>
  </si>
  <si>
    <t>CARGADOR DE PILAS RC B04</t>
  </si>
  <si>
    <t>H:\OneDrive\TRABAJOS\TAO Accesorios\web reina\imagenes\CARGADOR_DE_PILAS_RC_B04.png</t>
  </si>
  <si>
    <t>https://reinaelectronica.com.ar/producto/cargador-de-pilas-rc-b04/</t>
  </si>
  <si>
    <t>•Cargador con 4 Puertos de carga •Apto para pilas AA y AAA •Cargador con Puerto de carga Americano</t>
  </si>
  <si>
    <t>CABLE USB ROYALCELL IPHONE 5019</t>
  </si>
  <si>
    <t>H:\OneDrive\TRABAJOS\TAO Accesorios\web reina\imagenes\CABLE_USB_ROYALCELL_IPHONE_5019.jpg</t>
  </si>
  <si>
    <t>https://reinaelectronica.com.ar/producto/cable-usb-royalcell-iphone-5019/</t>
  </si>
  <si>
    <t>° Compatibilidad de múltiples dispositivos ° Chip inteligente integrado ° Carga rápida ° Largo de 1 metro ° Cable reforzado</t>
  </si>
  <si>
    <t>CABLE USB LG-5009 IPHONE</t>
  </si>
  <si>
    <t>H:\OneDrive\TRABAJOS\TAO Accesorios\web reina\imagenes\CABLE_USB_LG5009_IPHONE.png</t>
  </si>
  <si>
    <t>https://reinaelectronica.com.ar/producto/cable-usb-lg-5009-iphone/</t>
  </si>
  <si>
    <t>•Carga rápida y conveniente •compatibilidad de múltiples dispositivos •chip inteligente integrado •5A</t>
  </si>
  <si>
    <t>CABLE USB LG-5009 MICRO</t>
  </si>
  <si>
    <t>H:\OneDrive\TRABAJOS\TAO Accesorios\web reina\imagenes\CABLE_USB_LG5009_MICRO.png</t>
  </si>
  <si>
    <t>https://reinaelectronica.com.ar/producto/cable-usb-lg-5009-micro/</t>
  </si>
  <si>
    <t>CABLE USB LG-5009 TIPO C</t>
  </si>
  <si>
    <t>H:\OneDrive\TRABAJOS\TAO Accesorios\web reina\imagenes\CABLE_USB_LG5009_TIPO_C.png</t>
  </si>
  <si>
    <t>https://reinaelectronica.com.ar/producto/cable-usb-lg-5009-tipo-c/</t>
  </si>
  <si>
    <t>CABLE RC 5015 C-C</t>
  </si>
  <si>
    <t>H:\OneDrive\TRABAJOS\TAO Accesorios\web reina\imagenes\CABLE_RC_5015_CC.jpg</t>
  </si>
  <si>
    <t>https://reinaelectronica.com.ar/producto/cable-rc-5015-c-c/</t>
  </si>
  <si>
    <t>Compatibilidad de múltiples dispositivos ° Carga rápida ° Largo de 1 metro ° Cable mallado reforzado</t>
  </si>
  <si>
    <t>CABLE USB RC-5018 TIPO C A TIPO C 2MT</t>
  </si>
  <si>
    <t>H:\OneDrive\TRABAJOS\TAO Accesorios\web reina\imagenes\CABLE_USB_RC5018_TIPO_C_A_TIPO_C_2MT.jpg</t>
  </si>
  <si>
    <t>https://reinaelectronica.com.ar/producto/cable-usb-rc-5018-tipo-c-a-tipo-c-2mt/</t>
  </si>
  <si>
    <t>° Compatibilidad de múltiples dispositivos ° Chip inteligente integrado ° Carga rápida ° Largo de 2 metros</t>
  </si>
  <si>
    <t>CABLE APPLE IPHONE TIPO C A C</t>
  </si>
  <si>
    <t>H:\OneDrive\TRABAJOS\TAO Accesorios\web reina\imagenes\CABLE_APPLE_IPHONE_TIPO_C_A_C.jpg</t>
  </si>
  <si>
    <t>https://reinaelectronica.com.ar/producto/cable-apple-iphone-tipo-c-a-c/</t>
  </si>
  <si>
    <t>° Marca: Apple ° Calidad premium ° Cable reforzado y mallado ° Tipo C a C ° 1 metro</t>
  </si>
  <si>
    <t>CABLE APPLE C A LIGHTNING 1M</t>
  </si>
  <si>
    <t>H:\OneDrive\TRABAJOS\TAO Accesorios\web reina\imagenes\CABLE_APPLE_C_A_LIGHTNING_1M.jpg</t>
  </si>
  <si>
    <t>https://reinaelectronica.com.ar/producto/cable-apple-c-a-lightning-1m/</t>
  </si>
  <si>
    <t>Conecta y carga tu iPhone con este cable C a Lightning original de 1 metro, diseñado para ofrecerte la mejor calidad y rendimiento.</t>
  </si>
  <si>
    <t>CABLE TIPO C A LIGHTNING APPLE 2M</t>
  </si>
  <si>
    <t>H:\OneDrive\TRABAJOS\TAO Accesorios\web reina\imagenes\CABLE_TIPO_C_A_LIGHTNING_APPLE_2M.png</t>
  </si>
  <si>
    <t>https://reinaelectronica.com.ar/producto/cable-tipo-c-a-lightning-apple-2m/</t>
  </si>
  <si>
    <t>CABLE USB IPH 1M MD818ZM</t>
  </si>
  <si>
    <t>H:\OneDrive\TRABAJOS\TAO Accesorios\web reina\imagenes\CABLE_USB_IPH_1M_MD818ZM.jpg</t>
  </si>
  <si>
    <t>https://reinaelectronica.com.ar/producto/cable-usb-iph-1m-md818zm/</t>
  </si>
  <si>
    <t>Con entrada USB y salida Lightning. Marca compatible: Iphone. Modelo compatible: Todos. Largo del cable: 1m</t>
  </si>
  <si>
    <t>CABLE AUXILIAR - RC5012</t>
  </si>
  <si>
    <t>H:\OneDrive\TRABAJOS\TAO Accesorios\catalogo maestro\imagen\CABLE AUXILIAR - RC5012.png</t>
  </si>
  <si>
    <t>RECEPTOR DE BLUETOOTH G186</t>
  </si>
  <si>
    <t>H:\OneDrive\TRABAJOS\TAO Accesorios\web reina\imagenes\RECEPTOR_DE_BLUETOOTH_G186.jpg</t>
  </si>
  <si>
    <t>https://reinaelectronica.com.ar/producto/receptor-de-bluetooth-g186/</t>
  </si>
  <si>
    <t>°Bluetooth versión 3.0 °Perfil bluetooth A2DP °Distancia de operación de 5 metros °Tiempo de operación de 8 horas °Batería recargable °Tamaño de 50 x 25 x 10mm °Salida auxiliar 3.5mm °Adaptador doble jack 3.5mm °INCLUYE -Receptor bluetooth 3.0 -Adaptador deble jack 3.5mm</t>
  </si>
  <si>
    <t>HUB ADAPTADOR 2.0 4 PUERTOS</t>
  </si>
  <si>
    <t>H:\OneDrive\TRABAJOS\TAO Accesorios\web reina\imagenes\HUB_ADAPTADOR_20_4_PUERTOS.jpg</t>
  </si>
  <si>
    <t>https://reinaelectronica.com.ar/producto/hub-adaptador-2-0-4-puertos/</t>
  </si>
  <si>
    <t>°Corriente limite: 500 mA la toma del puerto USB °Largo del cable USB: 40 cms °Cantidad de puertos: 4 USB 2.0 °Compatible para Impresoras, USB, Teclados, Mouse, Teléfonos, Controles de juego, Cámaras, Scaner. °Línea de producto: HUB USB °Modelo: HUB USB 2.0 A 4 PUERTOS CON SWITCH INDIVIDUAL °Conexión plug &amp; play. No requiere CD o manual, solo conectar y listo para usar. °Totalmente compatible con USB 2.0 °COLOR: NEGRO</t>
  </si>
  <si>
    <t>CABLE VGA A VGA 1.5M</t>
  </si>
  <si>
    <t>H:\OneDrive\TRABAJOS\TAO Accesorios\web reina\imagenes\CABLE_VGA_A_VGA_15M.jpg</t>
  </si>
  <si>
    <t>https://reinaelectronica.com.ar/producto/cable-vga-a-vga-1-5m/</t>
  </si>
  <si>
    <t>Largo del cable: 1.5 m Unidades por pack: 1 Formato de venta: Unidad Con entrada VGA y salida VGA. El material de revestimiento del conector es .</t>
  </si>
  <si>
    <t>OTG MICRO CON CABLE S-K07</t>
  </si>
  <si>
    <t>H:\OneDrive\TRABAJOS\TAO Accesorios\web reina\imagenes\OTG_MICRO_CON_CABLE_SK07.jpg</t>
  </si>
  <si>
    <t>https://reinaelectronica.com.ar/producto/otg-micro-con-cable-s-k07/</t>
  </si>
  <si>
    <t>Este cable es ideal para conectar tus dispositivos de manera fácil y sencilla. Así, podrás transferir tus datos en pocos pasos y de manera segura y confiable.</t>
  </si>
  <si>
    <t>SOPORTE PARA CELULAR</t>
  </si>
  <si>
    <t>SOPORTE DE CELULAR PARA AUTO RB082</t>
  </si>
  <si>
    <t>H:\OneDrive\TRABAJOS\TAO Accesorios\web reina\imagenes\SOPORTE_DE_CELULAR_PARA_AUTO_RB082.png</t>
  </si>
  <si>
    <t>https://reinaelectronica.com.ar/producto/soporte-de-celular-para-auto-rb082/</t>
  </si>
  <si>
    <t>SOPORTE P/ AUTO MOVIL RC RA123</t>
  </si>
  <si>
    <t>H:\OneDrive\TRABAJOS\TAO Accesorios\web reina\imagenes\SOPORTE_P_AUTO_MOVIL_RC_RA123.jpg</t>
  </si>
  <si>
    <t>https://reinaelectronica.com.ar/producto/soporte-p-auto-movil-rc-ra123/</t>
  </si>
  <si>
    <t>BOLSA DE AGUA PARA CELULAR</t>
  </si>
  <si>
    <t>H:\OneDrive\TRABAJOS\TAO Accesorios\web reina\imagenes\BOLSA_DE_AGUA_PARA_CELULAR.png</t>
  </si>
  <si>
    <t>https://reinaelectronica.com.ar/producto/bolsa-de-agua-para-celular/</t>
  </si>
  <si>
    <t>SOPORTE DE CELULAR PARA AUTO RA145</t>
  </si>
  <si>
    <t>H:\OneDrive\TRABAJOS\TAO Accesorios\web reina\imagenes\SOPORTE_DE_CELULAR_PARA_AUTO_RA145.png</t>
  </si>
  <si>
    <t>https://reinaelectronica.com.ar/producto/soporte-de-celular-para-auto-ra145/</t>
  </si>
  <si>
    <t>SOPORTE DE CELULAR PARA BICI LX03</t>
  </si>
  <si>
    <t>H:\OneDrive\TRABAJOS\TAO Accesorios\web reina\imagenes\SOPORTE_DE_CELULAR_PARA_BICI_LX03.jpg</t>
  </si>
  <si>
    <t>https://reinaelectronica.com.ar/producto/soporte-de-celular-para-bici-lx03/</t>
  </si>
  <si>
    <t>Este soporte celular seguro para motos es el accesorio perfecto para mantener tu teléfono a salvo mientras conduces. Con su diseño táctil, podrás acceder fácilmente a tu dispositivo sin tener que detenerte. Además, su resistencia a la lluvia lo hace ideal para repartidores y usuarios que enfrentan condiciones climáticas adversas.</t>
  </si>
  <si>
    <t>SOPORTE PARA CELULAR  ALUMINIO 360º</t>
  </si>
  <si>
    <t>H:\OneDrive\TRABAJOS\TAO Accesorios\catalogo maestro\imagen\SOPORTE PARA CELULAR  ALUMINIO 360º.jpg</t>
  </si>
  <si>
    <t>AURICULARES RC HD-MIC RE-1005</t>
  </si>
  <si>
    <t>H:\OneDrive\TRABAJOS\TAO Accesorios\web reina\imagenes\AURICULARES_RC_HDMIC_RE1005.jpg</t>
  </si>
  <si>
    <t>https://reinaelectronica.com.ar/producto/auriculares-rc-hd-mic-re-1005/</t>
  </si>
  <si>
    <t>COMODOS MICROFONO INCLUIDO CALIDAD DE SONIDO BUENA Sin gomitas Disponibles en color blanco</t>
  </si>
  <si>
    <t>AURICULAR RC RE10013</t>
  </si>
  <si>
    <t>H:\OneDrive\TRABAJOS\TAO Accesorios\web reina\imagenes\AURICULAR_RC_RE10013.jpg</t>
  </si>
  <si>
    <t>https://reinaelectronica.com.ar/producto/auricular-rc-re10013/</t>
  </si>
  <si>
    <t>cómodos de llevar, cable reforzado, salida 3.5mm y un sonido inmersivo</t>
  </si>
  <si>
    <t>AURICULAR RC RE10016</t>
  </si>
  <si>
    <t>H:\OneDrive\TRABAJOS\TAO Accesorios\web reina\imagenes\AURICULAR_RC_RE10016.png</t>
  </si>
  <si>
    <t>https://reinaelectronica.com.ar/producto/auricular-rc-re10016/</t>
  </si>
  <si>
    <t>•Tipo C •Diseño de oreja plana, cómodo de llevar •Manos libres •Con micrófono, comunicación clara •Control de línea de una tecla</t>
  </si>
  <si>
    <t>AURICULARES INALAMBRICOS ROYAL CELL 2250</t>
  </si>
  <si>
    <t>H:\OneDrive\TRABAJOS\TAO Accesorios\web reina\imagenes\AURICULARES_INALAMBRICOS_ROYAL_CELL_2250.png</t>
  </si>
  <si>
    <t>https://reinaelectronica.com.ar/producto/auriculares-inalambricos-royal-cell-2250/</t>
  </si>
  <si>
    <t>AURICULAR VINCHA BT P47/ NG-A423BT</t>
  </si>
  <si>
    <t>H:\OneDrive\TRABAJOS\TAO Accesorios\web reina\imagenes\AURICULAR_VINCHA_BT_P47_NGA423BT.jpg</t>
  </si>
  <si>
    <t>https://reinaelectronica.com.ar/producto/auricular-vincha-bt-p47-ng-a423bt/</t>
  </si>
  <si>
    <t>° Conexión Bluetooth 5.0 + EDR ° Radio FM y lector de tarjeta micro SD ° Alcance de trabajo 10m ° Autonomía hasta 6hs ° Con diseño acolchado que proporciona además de comodidad un entorno bien cerrado e inmenso para sus oídos ° Micrófono incorporado y manos libres ° Varios colores disponibles con acabado mate</t>
  </si>
  <si>
    <t>AURICULAR VINCHA BT P47M</t>
  </si>
  <si>
    <t>H:\OneDrive\TRABAJOS\TAO Accesorios\web reina\imagenes\AURICULAR_VINCHA_BT_P47M.jpg</t>
  </si>
  <si>
    <t>https://reinaelectronica.com.ar/producto/auricular-vincha-bt-p47m/</t>
  </si>
  <si>
    <t>° Conexión Bluetooth 5.0 para mayor alcance y calidad de sonido ° Micrófono incorporado para llamadas manos libres ° Con 7 luces RGB ° Comodidad y ajuste perfecto con formato headset ° Ideal para actividades multimedia y música ° Varios colores disponibles</t>
  </si>
  <si>
    <t>AURICULAR BT P9</t>
  </si>
  <si>
    <t>H:\OneDrive\TRABAJOS\TAO Accesorios\web reina\imagenes\AURICULAR_BT_P9.jpg</t>
  </si>
  <si>
    <t>https://reinaelectronica.com.ar/producto/auricular-bt-p9/</t>
  </si>
  <si>
    <t>° Bluetooth V5.0 ° Con cubre orejas plegables ° Micrófono incorporado, llamadas manos libres ° Sonido de alta calidad ° Batería de larga duración ° Rango de funcionamiento hasta 10m ° Control en los botones ° Entrada para aux 3.5mm y Tf ° Disponible en varios colores</t>
  </si>
  <si>
    <t>AURICULAR BT BS961</t>
  </si>
  <si>
    <t>H:\OneDrive\TRABAJOS\TAO Accesorios\web reina\imagenes\AURICULAR_BT_BS961.jpg</t>
  </si>
  <si>
    <t>https://reinaelectronica.com.ar/producto/auricular-bt-bs961/</t>
  </si>
  <si>
    <t>° Vincha ajustable ° Versión V5.3 ° Radio FM ° Admite tarjeta de memoria y Auxiliar ° Conexión bluetooth ° Duración prolongada 4.5hs ° Luces de colores</t>
  </si>
  <si>
    <t>AURICULARES INALAMBRICOS ANIMADOS</t>
  </si>
  <si>
    <t>H:\OneDrive\TRABAJOS\TAO Accesorios\web reina\imagenes\AURICULARES_INALAMBRICOS_ANIMADOS.png</t>
  </si>
  <si>
    <t>https://reinaelectronica.com.ar/producto/auriculares-inalambricos-animados/</t>
  </si>
  <si>
    <t>AURICULARES LABUBU RGB 706N</t>
  </si>
  <si>
    <t>H:\OneDrive\TRABAJOS\TAO Accesorios\web reina\imagenes\AURICULARES_LABUBU_RGB_706N.png</t>
  </si>
  <si>
    <t>https://reinaelectronica.com.ar/producto/auriculares-labubu-rgb-706n/</t>
  </si>
  <si>
    <t>Ajuste cómodo y seguro : Con almohadillas de tela y soporte para Siri, estos auriculares son cómodos y versátiles. Cancelación de Ruido Activa:Disfruta de una experiencia de audio inmersiva con cancelación activa de ruido. LUCES RGB Material PVC y Gel de Silica:Fabricados en PVC resistente y gel de silicón, ofrecen comodidad y durabilidad. Bluetooth 5.1 avanzado:Conectividad estable con Bluetooth 5.1, garantiza un alcance inalámbrico de hasta 10 m.</t>
  </si>
  <si>
    <t>AURICULARES LABUBU RGB 906C</t>
  </si>
  <si>
    <t>H:\OneDrive\TRABAJOS\TAO Accesorios\web reina\imagenes\AURICULARES_LABUBU_RGB_906C.png</t>
  </si>
  <si>
    <t>https://reinaelectronica.com.ar/producto/auriculares-labubu-rgb-906c/</t>
  </si>
  <si>
    <t>° Conexión Bluetooth 5.1 para una conectividad estable y mayor calidad de sonido ° Con luces RGB ° Material PVC y Acrílico: Fabricados en PVC resistente que ofrece comodidad y durabilidad ° Con un alcance inalámbrico de hasta 10m ° Ideal para actividades multimedia y música ° Varios colores disponibles</t>
  </si>
  <si>
    <t>PARLANTES</t>
  </si>
  <si>
    <t>PARLANTE LEGATUS LP-1130</t>
  </si>
  <si>
    <t>H:\OneDrive\TRABAJOS\TAO Accesorios\web reina\imagenes\PARLANTE_LEGATUS_LP1130.jpg</t>
  </si>
  <si>
    <t>https://reinaelectronica.com.ar/producto/parlante-legatus-lp-1130/</t>
  </si>
  <si>
    <t>° Conexión inalámbrica bluetooth 5.0 ° Distancia de transmisión: hasta 10m ° Batería Recargable ° Potencia del Parlante: 5W ° Duración de la Carga: 2 – 4hs dependiendo del volumen y modo de uso ° Tiempo de Carga: 2 – 4hs ° Medidas: 156mm x 80mm x 65mm</t>
  </si>
  <si>
    <t>PARLANTE LEGATUS 3" 3301</t>
  </si>
  <si>
    <t>H:\OneDrive\TRABAJOS\TAO Accesorios\web reina\imagenes\PARLANTE_LEGATUS_3_3301.png</t>
  </si>
  <si>
    <t>https://reinaelectronica.com.ar/producto/parlante-legatus-3-3301/</t>
  </si>
  <si>
    <t>PARLANTE LEGATUS 3″ 3306</t>
  </si>
  <si>
    <t>H:\OneDrive\TRABAJOS\TAO Accesorios\web reina\imagenes\PARLANTE_LEGATUS_3_3306.png</t>
  </si>
  <si>
    <t>https://reinaelectronica.com.ar/producto/parlante-legatus-3-3306/</t>
  </si>
  <si>
    <t>PARLANTE BLUETOOTH ROYALCELL 4″ 5W RP-4404</t>
  </si>
  <si>
    <t>H:\OneDrive\TRABAJOS\TAO Accesorios\web reina\imagenes\PARLANTE_BLUETOOTH_ROYALCELL_4_5W_RP4404.png</t>
  </si>
  <si>
    <t>https://reinaelectronica.com.ar/producto/parlante-bluetooth-royalcell-4-5w-rp-4404/</t>
  </si>
  <si>
    <t>PARLANTE BT FANTASTIC QUALITY 4″ GTS-1390</t>
  </si>
  <si>
    <t>H:\OneDrive\TRABAJOS\TAO Accesorios\web reina\imagenes\PARLANTE_BT_FANTASTIC_QUALITY_4_GTS1390.png</t>
  </si>
  <si>
    <t>https://reinaelectronica.com.ar/producto/parlante-bt-fantastic-quality-4-gts-1390/</t>
  </si>
  <si>
    <t>PARLANTE BT FANTASTIC QUALITY 4″ GTS-1393</t>
  </si>
  <si>
    <t>H:\OneDrive\TRABAJOS\TAO Accesorios\web reina\imagenes\PARLANTE_BT_FANTASTIC_QUALITY_4_GTS1393.png</t>
  </si>
  <si>
    <t>https://reinaelectronica.com.ar/producto/parlante-bt-fantastic-quality-4-gts-1393/</t>
  </si>
  <si>
    <t>PARLANTE BLUETOOTH CHARGE MINI</t>
  </si>
  <si>
    <t>H:\OneDrive\TRABAJOS\TAO Accesorios\web reina\imagenes\PARLANTE_BLUETOOTH_CHARGE_MINI.jpg</t>
  </si>
  <si>
    <t>https://reinaelectronica.com.ar/producto/parlante-bluetooth-charge-mini/</t>
  </si>
  <si>
    <t>°Largo: 16 cm °Diámetro: 6.5 cm °Bateria: 6000mAH (carga USB) °Altavoz °Reproduce por 12 horas °A prueba de salpicaduras °Inalámbrico °Compatible con cualquier dispositivo °Entrada: DC-5V | TF | USB °Botón de encendido, volumen, play y pausa °Con radio °Colores:??</t>
  </si>
  <si>
    <t>PARLANTE+CARGADOR C/RELOJ ‘G’ 3401</t>
  </si>
  <si>
    <t>H:\OneDrive\TRABAJOS\TAO Accesorios\web reina\imagenes\PARLANTECARGADOR_CRELOJ_G_3401.png</t>
  </si>
  <si>
    <t>https://reinaelectronica.com.ar/producto/parlantecargador-c-reloj-g-3401/</t>
  </si>
  <si>
    <t>•Cargador carga rápida •Reloj digital •Función despertador •Parlante BT/ Radio FM, USB, Ranura Tf, AUX •Luz led con siete opciones de color •Modo concentración y meditación</t>
  </si>
  <si>
    <t>PARLANTE BT FANTASTIC QUALITY 6.5″ GTS-1191</t>
  </si>
  <si>
    <t>H:\OneDrive\TRABAJOS\TAO Accesorios\web reina\imagenes\PARLANTE_BT_FANTASTIC_QUALITY_65_GTS1191.png</t>
  </si>
  <si>
    <t>https://reinaelectronica.com.ar/producto/parlante-bt-fantastic-quality-6-5-gts-1191/</t>
  </si>
  <si>
    <t>PARLANTE ORYX 6,5 RIO 10W</t>
  </si>
  <si>
    <t>H:\OneDrive\TRABAJOS\TAO Accesorios\web reina\imagenes\PARLANTE_ORYX_65_RIO_10W.jpg</t>
  </si>
  <si>
    <t>https://reinaelectronica.com.ar/producto/parlante-oryx-65-rio-10w/</t>
  </si>
  <si>
    <t>° Apto para uso en exteriores ° Tiene luces led ° Función de karaoke incorporada ° Batería recargable ° Potencia de 10W ° Con un micrófono de accesorio ° Tiempo de carga de la batería: 4h</t>
  </si>
  <si>
    <t>PARLANTE PARA AUTO 4′ TS-G1020E 2800W</t>
  </si>
  <si>
    <t>H:\OneDrive\TRABAJOS\TAO Accesorios\web reina\imagenes\PARLANTE_PARA_AUTO_4_TSG1020E_2800W.jpg</t>
  </si>
  <si>
    <t>https://reinaelectronica.com.ar/producto/parlante-para-auto-4-ts-g1020e-2800w/</t>
  </si>
  <si>
    <t>PARLANTE HONG KONG 6.5″</t>
  </si>
  <si>
    <t>H:\OneDrive\TRABAJOS\TAO Accesorios\web reina\imagenes\PARLANTE_HONG_KONG_65.png</t>
  </si>
  <si>
    <t>https://reinaelectronica.com.ar/producto/parlante-hong-kong-6-5/</t>
  </si>
  <si>
    <t>PARLANTE BLUETOOTH RS-2410 ROYALCELL 4X2</t>
  </si>
  <si>
    <t>H:\OneDrive\TRABAJOS\TAO Accesorios\web reina\imagenes\PARLANTE_BLUETOOTH_RS2410_ROYALCELL_4X2.png</t>
  </si>
  <si>
    <t>https://reinaelectronica.com.ar/producto/parlante-bluetooth-rs-2410-royalcell-4x2/</t>
  </si>
  <si>
    <t>HUMIFICADOR PARLANTE G C/BT T00K8</t>
  </si>
  <si>
    <t>H:\OneDrive\TRABAJOS\TAO Accesorios\web reina\imagenes\HUMIFICADOR_PARLANTE_G_CBT_T00K8.jpg</t>
  </si>
  <si>
    <t>https://reinaelectronica.com.ar/producto/humificador-parlante-g-c-bt-t00k8/</t>
  </si>
  <si>
    <t>° Voltaje: 110V/220V ° Gran capacidad 350 ml, liviano y fácil de transportar ° Color: Blanco ° Luces led RGB ° Recargable USB ° Función humidificador y goteo antigravedad ° Parlante Bluetooth 5.0 te ofrecerá una experiencia completa</t>
  </si>
  <si>
    <t>PARLANTE NEPTUNO 8″</t>
  </si>
  <si>
    <t>H:\OneDrive\TRABAJOS\TAO Accesorios\web reina\imagenes\PARLANTE_NEPTUNO_8.jpg</t>
  </si>
  <si>
    <t>https://reinaelectronica.com.ar/producto/parlante-neptuno-8/</t>
  </si>
  <si>
    <t>PARLANTE P/AUTO 6X9 VIAS OR-1055 1200 W</t>
  </si>
  <si>
    <t>H:\OneDrive\TRABAJOS\TAO Accesorios\web reina\imagenes\PARLANTE_PAUTO_6X9_VIAS_OR1055_1200_W.jpg</t>
  </si>
  <si>
    <t>https://reinaelectronica.com.ar/producto/parlante-p-auto-6x9-vias-or-1055-1200-w/</t>
  </si>
  <si>
    <t>PARLANTE ORYX 12″ SATURN 35W</t>
  </si>
  <si>
    <t>H:\OneDrive\TRABAJOS\TAO Accesorios\web reina\imagenes\PARLANTE_ORYX_12_SATURN_35W.jpg</t>
  </si>
  <si>
    <t>https://reinaelectronica.com.ar/producto/parlante-oryx-12-saturn-35w/</t>
  </si>
  <si>
    <t>PARLANTE ORYX 12″ URANO</t>
  </si>
  <si>
    <t>H:\OneDrive\TRABAJOS\TAO Accesorios\web reina\imagenes\PARLANTE_ORYX_12_URANO.png</t>
  </si>
  <si>
    <t>https://reinaelectronica.com.ar/producto/parlante-oryx-12-urano/</t>
  </si>
  <si>
    <t>PARLANTE ORYX 12″ TOKIO 35W</t>
  </si>
  <si>
    <t>H:\OneDrive\TRABAJOS\TAO Accesorios\web reina\imagenes\PARLANTE_ORYX_12_TOKIO_35W.png</t>
  </si>
  <si>
    <t>https://reinaelectronica.com.ar/producto/parlante-oryx-12-tokio-35w/</t>
  </si>
  <si>
    <t>PARLANTE JUPITER 12"</t>
  </si>
  <si>
    <t>H:\OneDrive\TRABAJOS\TAO Accesorios\web reina\imagenes\PARLANTE_JUPITER_12.jpg</t>
  </si>
  <si>
    <t>https://reinaelectronica.com.ar/producto/parlante-jupiter-12/</t>
  </si>
  <si>
    <t>° Bluetooth ° Radio FM ° Lector de tarjeta ° USB ° Luces LED ° Aux IN ° Función especial TWS ° Incluye micrófono y carrito con rueditas para transportar</t>
  </si>
  <si>
    <t>PARLANTE HARRISON ACID PLUS 12″</t>
  </si>
  <si>
    <t>H:\OneDrive\TRABAJOS\TAO Accesorios\web reina\imagenes\PARLANTE_HARRISON_ACID_PLUS_12.jpg</t>
  </si>
  <si>
    <t>https://reinaelectronica.com.ar/producto/parlante-harrison-acid-plus-12/</t>
  </si>
  <si>
    <t>PARLANTE 15″ VALLEY ORYX</t>
  </si>
  <si>
    <t>H:\OneDrive\TRABAJOS\TAO Accesorios\web reina\imagenes\PARLANTE_15_VALLEY_ORYX.png</t>
  </si>
  <si>
    <t>https://reinaelectronica.com.ar/producto/parlante-15-valley-oryx/</t>
  </si>
  <si>
    <t>PARLANTE HARRISON UP TOWN 2X10″</t>
  </si>
  <si>
    <t>H:\OneDrive\TRABAJOS\TAO Accesorios\web reina\imagenes\PARLANTE_HARRISON_UP_TOWN_2X10.jpg</t>
  </si>
  <si>
    <t>https://reinaelectronica.com.ar/producto/parlante-harrison-up-town-2x10/</t>
  </si>
  <si>
    <t>PARLANTE TORRE SUONO 10″X2</t>
  </si>
  <si>
    <t>H:\OneDrive\TRABAJOS\TAO Accesorios\web reina\imagenes\PARLANTE_TORRE_SUONO_10X2.png</t>
  </si>
  <si>
    <t>https://reinaelectronica.com.ar/producto/parlante-torre-suono-10x2/</t>
  </si>
  <si>
    <t>RADIO R-998</t>
  </si>
  <si>
    <t>H:\OneDrive\TRABAJOS\TAO Accesorios\web reina\imagenes\RADIO_R998.png</t>
  </si>
  <si>
    <t>https://reinaelectronica.com.ar/producto/radio-r-998/</t>
  </si>
  <si>
    <t>•Radio AM/FM •Antena telescópica •Indicador de sintonía •Ventana indicadora de frecuencia •Correa •Entrada auricular •Batería 2 AA 1.5V (NO INCLUIDAS) •Potencia de salida RMS 0.75w</t>
  </si>
  <si>
    <t>RADIO VINTAGE MUSIC PLAYER RS-8110</t>
  </si>
  <si>
    <t>H:\OneDrive\TRABAJOS\TAO Accesorios\web reina\imagenes\RADIO_VINTAGE_MUSIC_PLAYER_RS8110.png</t>
  </si>
  <si>
    <t>https://reinaelectronica.com.ar/producto/radio-vintage-music-player-rs-8110/</t>
  </si>
  <si>
    <t>CONEXION BLUETOOTH  ADMITE TARJETA DE MEMORIA  AM/FM  BATERIA RECARGABLE(CABLE USB INCLUIDO)  FUNCIONA A PILAS NO INCLUIDAS</t>
  </si>
  <si>
    <t>STEREO P/AUTO DESMONTABLE 1788E</t>
  </si>
  <si>
    <t>H:\OneDrive\TRABAJOS\TAO Accesorios\web reina\imagenes\STEREO_PAUTO_DESMONTABLE_1788E.png</t>
  </si>
  <si>
    <t>https://reinaelectronica.com.ar/producto/stereo-p-auto-desmontable-1788e/</t>
  </si>
  <si>
    <t>•Pantalla LED •Incorporado. Reloj digital Entrada auxiliar frontal •Control remoto con todas las funciones •Salida de alta potencia •Función de carpeta Admite formatos SD/USB/MMC y MP3 •Sintonización de PLL de electrónica •Radio FM •Memoria de 18 estaciones •Volumen electrónico-•Graves-Agudos •Pausa/Repetir/Reproducción aleatoria •Efecto EQ (Pop-Rock-Clásico)</t>
  </si>
  <si>
    <t>STEREO FIJO SUONO INF0001</t>
  </si>
  <si>
    <t>H:\OneDrive\TRABAJOS\TAO Accesorios\web reina\imagenes\STEREO_FIJO_SUONO_INF0001.jpg</t>
  </si>
  <si>
    <t>https://reinaelectronica.com.ar/producto/stereo-fijo-suono-inf0001/</t>
  </si>
  <si>
    <t>•Conexión Bluetooth •Pantalla led retro iluminada •Soporta formatos: MP3 •USB, Radio FM, Aux 3.5mm, Tarjeta microSD •Reloj  •Incluye •Un estéreo Suono •Control remoto •Una ficha con cables de corriente •Una ficha con cables para parlantes •Palancas de extracción de estéreo</t>
  </si>
  <si>
    <t>STEREO P/AUTO C/PANTALLACAR MP5 PL AYER</t>
  </si>
  <si>
    <t>H:\OneDrive\TRABAJOS\TAO Accesorios\web reina\imagenes\STEREO_PAUTO_CPANTALLACAR_MP5_PL_AYER.png</t>
  </si>
  <si>
    <t>https://reinaelectronica.com.ar/producto/stereo-p-auto-c-pantallacar-mp5-pl-ayer/</t>
  </si>
  <si>
    <t>° Sistema de sintonización electrónica ° Radio Digital con Banda FM °Admite formatos MP5/MP4/MP3 °Admite interfaz USB/TF •Control de audio electrónico ° Reloj en tiempo real ° Con control remoto ° Pantalla TFT de 4,3/4,7/5 pulgadas ° Salida de vídeo ° Potencia de salida: 4x45W ° TAMAÑO: 210x110x100mm</t>
  </si>
  <si>
    <t>ESTEREO P/AUTO OSR FIJO SC002/CS001/1782E</t>
  </si>
  <si>
    <t>H:\OneDrive\TRABAJOS\TAO Accesorios\web reina\imagenes\ESTEREO_PAUTO_OSR_FIJO_SC002CS0011782E.jpg</t>
  </si>
  <si>
    <t>https://reinaelectronica.com.ar/producto/stereo-p-auto-osr-fijo-sc002-cs001-1782e/</t>
  </si>
  <si>
    <t>Con puerto USB y lector de tarjeta SD. Sintoniza FM. Tecnología bluetooth incluida. Compatible con Spotify. Cuenta con adaptador de entrada auxiliar. Incluye control remoto. Ecualizador de bandas incorporado.</t>
  </si>
  <si>
    <t>RADIO LOVERS ORYX KK-2010/1732</t>
  </si>
  <si>
    <t>H:\OneDrive\TRABAJOS\TAO Accesorios\web reina\imagenes\RADIO_LOVERS_ORYX_KK20101732.jpg</t>
  </si>
  <si>
    <t>https://reinaelectronica.com.ar/producto/radio-lovers-oryx-kk-2010-1732/</t>
  </si>
  <si>
    <t>° Alta sensibilidad ° 4 Bandas: AM/FM/SW 1-2 ° Antena de alta sensibilidad ° Alimentación dual ° Tipo analógico ° Incluye cable INterlog y correa para transportar</t>
  </si>
  <si>
    <t>LAMPARA ESTRELLA KA-360</t>
  </si>
  <si>
    <t>H:\OneDrive\TRABAJOS\TAO Accesorios\web reina\imagenes\LAMPARA_ESTRELLA_KA360.jpg</t>
  </si>
  <si>
    <t>https://reinaelectronica.com.ar/producto/lampara-estrella-ka-360/</t>
  </si>
  <si>
    <t>° Permite variar hasta 10 modos de luz ° Luz led de universo y galaxias de 4 colores (Rojo, verde, azul y blanco) con 3 niveles de movimiento giratorio ° Parlante bluetooth incorporado ° Ajuste de brillo ° Velocidades de movimiento ° Temporizador ° Incluye control remoto</t>
  </si>
  <si>
    <t>LUZ DE SILICONA HJ008-2</t>
  </si>
  <si>
    <t>H:\OneDrive\TRABAJOS\TAO Accesorios\web reina\imagenes\LUZ_DE_SILICONA_HJ0082.jpg</t>
  </si>
  <si>
    <t>https://reinaelectronica.com.ar/producto/luz-de-silicona-hj008-2/</t>
  </si>
  <si>
    <t>LAMPARA ASTRONAUTA JS6801H</t>
  </si>
  <si>
    <t>H:\OneDrive\TRABAJOS\TAO Accesorios\catalogo maestro\imagen\LAMPARA ASTRONAUTA JS6801H.jpg</t>
  </si>
  <si>
    <t>LAMPARA LED AUTO MU339</t>
  </si>
  <si>
    <t>H:\OneDrive\TRABAJOS\TAO Accesorios\web reina\imagenes\LAMPARA_LED_AUTO_MU339.png</t>
  </si>
  <si>
    <t>https://reinaelectronica.com.ar/producto/lampara-led-auto-mu339/</t>
  </si>
  <si>
    <t>•Flexible para regular la altura y posicion de la lampara •Incluye USB cable •Luz led •Es recargable</t>
  </si>
  <si>
    <t>LAMPARA LED DINO BJJ268-3</t>
  </si>
  <si>
    <t>H:\OneDrive\TRABAJOS\TAO Accesorios\web reina\imagenes\LAMPARA_LED_DINO_BJJ2683.png</t>
  </si>
  <si>
    <t>https://reinaelectronica.com.ar/producto/lampara-led-dino-bjj268-3/</t>
  </si>
  <si>
    <t>•Luz led blanca, cálida y neutra •Batería recargable USB •Interruptor de alimentación •Dino imantado desmontable •En colores rosa, celeste y amarillo disponibles!</t>
  </si>
  <si>
    <t>LAMPARA LED MU350</t>
  </si>
  <si>
    <t>H:\OneDrive\TRABAJOS\TAO Accesorios\web reina\imagenes\LAMPARA_LED_MU350.png</t>
  </si>
  <si>
    <t>https://reinaelectronica.com.ar/producto/lampara-led-mu350/</t>
  </si>
  <si>
    <t>PROYECTOR DE ESTRELLAS STAR MASTER/SUONO</t>
  </si>
  <si>
    <t>H:\OneDrive\TRABAJOS\TAO Accesorios\web reina\imagenes\PROYECTOR_DE_ESTRELLAS_STAR_MASTERSUONO.jpg</t>
  </si>
  <si>
    <t>https://reinaelectronica.com.ar/producto/proyector-de-estrellas-star-master-suono/</t>
  </si>
  <si>
    <t>° Con sistema giratorio ° Combinación de iluminación en blanco cálido y RGB ° Recargable o funciona con 4 pilas AAA (No incluídas) ° Medidas 14x14cm ° Disponible en rosa, celeste y violeta</t>
  </si>
  <si>
    <t>HUMIDIFICADOR 036/041</t>
  </si>
  <si>
    <t>H:\OneDrive\TRABAJOS\TAO Accesorios\catalogo maestro\imagen\LÁMPARA HUMIDIFICADOR.png</t>
  </si>
  <si>
    <t>LÁMPARA INFANTIL 268H</t>
  </si>
  <si>
    <t>H:\OneDrive\TRABAJOS\TAO Accesorios\web reina\imagenes\LÁMPARA_INFANTIL_268H.jpg</t>
  </si>
  <si>
    <t>https://reinaelectronica.com.ar/producto/lampara-infantil-268h/</t>
  </si>
  <si>
    <t>LÁMPARA INFANTIL 348H</t>
  </si>
  <si>
    <t>H:\OneDrive\TRABAJOS\TAO Accesorios\web reina\imagenes\LÁMPARA_INFANTIL_348H.jpg</t>
  </si>
  <si>
    <t>https://reinaelectronica.com.ar/producto/lampara-infantil-348h/</t>
  </si>
  <si>
    <t>°Luz LED °Recargable, incluye USB °Rotacion 360° °Potencia 3W</t>
  </si>
  <si>
    <t>LÁMPARA INFANTIL 353 H/G</t>
  </si>
  <si>
    <t>H:\OneDrive\TRABAJOS\TAO Accesorios\web reina\imagenes\LÁMPARA_INFANTIL_353_HG.jpg</t>
  </si>
  <si>
    <t>https://reinaelectronica.com.ar/producto/lampara-infantil-353-h-g/</t>
  </si>
  <si>
    <t>LÁMPARA INFANTIL 356E</t>
  </si>
  <si>
    <t>H:\OneDrive\TRABAJOS\TAO Accesorios\web reina\imagenes\LÁMPARA_INFANTIL_356E.jpg</t>
  </si>
  <si>
    <t>https://reinaelectronica.com.ar/producto/lampara-infantil-356e/</t>
  </si>
  <si>
    <t>LÁMPARAS INFANTILES 343 H/G</t>
  </si>
  <si>
    <t>H:\OneDrive\TRABAJOS\TAO Accesorios\web reina\imagenes\LÁMPARAS_INFANTILES_343_HG.jpg</t>
  </si>
  <si>
    <t>https://reinaelectronica.com.ar/producto/lamparas-infantiles-343-h-g/</t>
  </si>
  <si>
    <t>LÁMPARA 005/121/127/157/Z-139</t>
  </si>
  <si>
    <t>H:\OneDrive\TRABAJOS\TAO Accesorios\web reina\imagenes\LÁMPARA_005121127157Z139.jpg</t>
  </si>
  <si>
    <t>https://reinaelectronica.com.ar/producto/lampara-005-121-127-157-z-139/</t>
  </si>
  <si>
    <t>° Material silicona, suave al tacto sin BPA ° Luz cálida suave, brillo ajustable y temporizador ° Funciona como soporte para teléfono móvil ° Carga con ahorro de energía ° Duracion de bateria aproximadamente 16hs</t>
  </si>
  <si>
    <t>LÁMPARA INFANTIL 258 10/11</t>
  </si>
  <si>
    <t>H:\OneDrive\TRABAJOS\TAO Accesorios\web reina\imagenes\LÁMPARA_INFANTIL_258_1011.jpg</t>
  </si>
  <si>
    <t>https://reinaelectronica.com.ar/producto/lampara-infantil-258-10-11/</t>
  </si>
  <si>
    <t>LÁMPARA DE ESCRITORIO TÁCTIL PL-9031</t>
  </si>
  <si>
    <t>H:\OneDrive\TRABAJOS\TAO Accesorios\catalogo maestro\imagen\LÁMPARA DE ESCRITORIO TÁCTIL PL-9031.jpg</t>
  </si>
  <si>
    <t>LAMPARA DE ESCRITORIO PINZA OR-19 7435</t>
  </si>
  <si>
    <t>H:\OneDrive\TRABAJOS\TAO Accesorios\web reina\imagenes\LAMPARA_DE_ESCRITORIO_PINZA_OR19_7435.jpg</t>
  </si>
  <si>
    <t>https://reinaelectronica.com.ar/producto/lampara-de-escritorio-pinza-or-19-7435/</t>
  </si>
  <si>
    <t>° Súper compacta y portátil ° Brazo flexible ° Interruptor On / Off ° Largo de Cable: 0.80 mts ° Altura Máxima: 30 cm ° Ancho Pantalla: 11 cm ° Alimentación: 220v ° Material: Metal + Plástico ° Varios colores disponibles</t>
  </si>
  <si>
    <t>LAMPARA DE ESCRITORIO OR-L01</t>
  </si>
  <si>
    <t>H:\OneDrive\TRABAJOS\TAO Accesorios\web reina\imagenes\LAMPARA_DE_ESCRITORIO_ORL01.jpg</t>
  </si>
  <si>
    <t>https://reinaelectronica.com.ar/producto/lampara-de-escritorio-or-l01/</t>
  </si>
  <si>
    <t>PROYECTOR ASTRONAUTA S-1239</t>
  </si>
  <si>
    <t>H:\OneDrive\TRABAJOS\TAO Accesorios\web reina\imagenes\PROYECTOR_ASTRONAUTA_S1239.png</t>
  </si>
  <si>
    <t>https://reinaelectronica.com.ar/producto/proyector-astronauta-s-1239/</t>
  </si>
  <si>
    <t>ESFERA DE CRISTAL 8CM DE DIAMETRO</t>
  </si>
  <si>
    <t>H:\OneDrive\TRABAJOS\TAO Accesorios\web reina\imagenes\ESFERA_DE_CRISTAL_8CM_DE_DIAMETRO.png</t>
  </si>
  <si>
    <t>https://reinaelectronica.com.ar/producto/esfera-de-cristal-8cm-de-diametro/</t>
  </si>
  <si>
    <t>FOCO GIRATORIO LED OSR</t>
  </si>
  <si>
    <t>H:\OneDrive\TRABAJOS\TAO Accesorios\web reina\imagenes\FOCO_GIRATORIO_LED_OSR.png</t>
  </si>
  <si>
    <t>https://reinaelectronica.com.ar/producto/foco-giratorio-led-osr/</t>
  </si>
  <si>
    <t>HUMIDIFICADOR CAPIBARA</t>
  </si>
  <si>
    <t>H:\OneDrive\TRABAJOS\TAO Accesorios\web reina\imagenes\HUMIDIFICADOR_CAPIBARA.jpg</t>
  </si>
  <si>
    <t>https://reinaelectronica.com.ar/producto/humidificador-capibara/</t>
  </si>
  <si>
    <t>LAMPARA DE CRISTAL Y MADERA 6CM</t>
  </si>
  <si>
    <t>H:\OneDrive\TRABAJOS\TAO Accesorios\web reina\imagenes\LAMPARA_DE_CRISTAL_Y_MADERA_6CM.png</t>
  </si>
  <si>
    <t>https://reinaelectronica.com.ar/producto/lampara-de-cristal-y-madera-6cm/</t>
  </si>
  <si>
    <t>ESFERAS DE CRISTAL 6 CM DE DIAMETRO</t>
  </si>
  <si>
    <t>H:\OneDrive\TRABAJOS\TAO Accesorios\web reina\imagenes\ESFERAS_DE_CRISTAL_6_CM_DE_DIAMETRO.png</t>
  </si>
  <si>
    <t>https://reinaelectronica.com.ar/producto/esferas-de-cristal-6-cm-de-diametro/</t>
  </si>
  <si>
    <t>LAMPARA LUNA SUONO 75-SUO082</t>
  </si>
  <si>
    <t>H:\OneDrive\TRABAJOS\TAO Accesorios\web reina\imagenes\LAMPARA_LUNA_SUONO_75SUO082.png</t>
  </si>
  <si>
    <t>https://reinaelectronica.com.ar/producto/lampara-luna-suono-75-suo082/</t>
  </si>
  <si>
    <t>•Medida: 15cm de diámetro •Batería recargable •Luces led RGB •Cambio de color automático •4 Modos de iluminación •Base de mader</t>
  </si>
  <si>
    <t>HUMIFICADOR PLANET SX-E323A</t>
  </si>
  <si>
    <t>H:\OneDrive\TRABAJOS\TAO Accesorios\web reina\imagenes\HUMIFICADOR_PLANET_SXE323A.jpg</t>
  </si>
  <si>
    <t>https://reinaelectronica.com.ar/producto/humificador-planet-sx-e323a/</t>
  </si>
  <si>
    <t>PROYECTOR ASTRONAUTA C/PARLANTE KA-7802</t>
  </si>
  <si>
    <t>H:\OneDrive\TRABAJOS\TAO Accesorios\web reina\imagenes\PROYECTOR_ASTRONAUTA_CPARLANTE_KA7802.png</t>
  </si>
  <si>
    <t>https://reinaelectronica.com.ar/producto/proyector-astronauta-c-parlante-ka-7802/</t>
  </si>
  <si>
    <t>•Luz roja,verde,azul y amarilla. Puedes personalizar la combinación de 15 colores de galaxia, brillo y velocidad •Trae 7 sonidos de ruido blanco: océano, fogata, canciones de cuna, canto de pájaros, río, sonido natural matutino y estrellas centelleantes •Altavoz de música de alta fidelidad y sonido, podrás reproducir tu música favorita •Ajustable en 360° para que puedas configurar la proyección en el techo, en una pared o en otros lugares que desees, lo que te brinda ángulos de visión más cómodos •Proporciona un ambiente relajante y ayuda a mejorar el sueño, ideal para la habitación de los niños</t>
  </si>
  <si>
    <t>PROYECTOR CON PARLANTE ASTRONAUTA</t>
  </si>
  <si>
    <t>H:\OneDrive\TRABAJOS\TAO Accesorios\web reina\imagenes\PROYECTOR_CON_PARLANTE_ASTRONAUTA.png</t>
  </si>
  <si>
    <t>https://reinaelectronica.com.ar/producto/proyector-con-parlante-astronauta/</t>
  </si>
  <si>
    <t>LAMPARA RGB WIFI C/CONTROL TUYA</t>
  </si>
  <si>
    <t>H:\OneDrive\TRABAJOS\TAO Accesorios\web reina\imagenes\LAMPARA_RGB_WIFI_CCONTROL_TUYA.jpg</t>
  </si>
  <si>
    <t>https://reinaelectronica.com.ar/producto/lampara-rgb-wifi-c-control-tuya/</t>
  </si>
  <si>
    <t>° Gracias a su especial diseño, podrás instalar esta lámpara en ambientes internos y decorar cada espacio de tu hogar u oficina según tus necesidades y gustos ° Control de APP Tuya Smart compatible con Android e IOS ° 16 millones de colores y sincronización con música ° Función de temporización y memoria ° Ahorro de energía de un 85% ° Potencia: 24W ° Color: RGBCW ° Vida útil: 50000H</t>
  </si>
  <si>
    <t>PANEL LED PARA CELULAR AY-96JSSR</t>
  </si>
  <si>
    <t>H:\OneDrive\TRABAJOS\TAO Accesorios\web reina\imagenes\PANEL_LED_PARA_CELULAR_AY96JSSR.jpg</t>
  </si>
  <si>
    <t>https://reinaelectronica.com.ar/producto/panel-led-para-celular-ay-96jssr/</t>
  </si>
  <si>
    <t>° Iluminación RGB 360° con una amplia gama de colores y temperaturas para ajustar la atmósfera perfecta ° Tipo estática y dinámica, controla la intensidad de la luz, desde una iluminación suave hasta una brillante y vibrante ° Diseño compacto y portátil, perfecto para llevar a cualquier lado ° Batería 1800mAh recargable ° Adaptable con pinza/rosca</t>
  </si>
  <si>
    <t>PROTON 36 LED LM036</t>
  </si>
  <si>
    <t>H:\OneDrive\TRABAJOS\TAO Accesorios\web reina\imagenes\PROTON_36_LED_LM036.jpg</t>
  </si>
  <si>
    <t>https://reinaelectronica.com.ar/producto/proton-36-led-lm036/</t>
  </si>
  <si>
    <t>° Luminosidad led RGB ° Brazo de sujeción metálico apto para colgar o apoyar ° Incluye control remoto ° Modos de operación Audiorítmico Automático Maestro/Esclavo DMX</t>
  </si>
  <si>
    <t>PROTON 54 LUCES LED RGB CON CONTROL</t>
  </si>
  <si>
    <t>H:\OneDrive\TRABAJOS\TAO Accesorios\web reina\imagenes\PROTON_54_LUCES_LED_RGB_CON_CONTROL.jpg</t>
  </si>
  <si>
    <t>https://reinaelectronica.com.ar/producto/proton-54-luces-led-rgb-con-control/</t>
  </si>
  <si>
    <t>REFLECTOR LED PORTATIL PANEL RL-900</t>
  </si>
  <si>
    <t>H:\OneDrive\TRABAJOS\TAO Accesorios\web reina\imagenes\REFLECTOR_LED_PORTATIL_PANEL_RL900.jpg</t>
  </si>
  <si>
    <t>https://reinaelectronica.com.ar/producto/reflector-led-portatil-panel-rl-900/</t>
  </si>
  <si>
    <t>° Fuente de luz brillante, uniforme y eficiente, sin corrugación y sin parpadeos ° Temperatura de color y brillo ajustables ° Puerta de granero integrada con 4 hojas y disipación de calor ° Conveniente para instalar en una cámara, trípode, soporte de luz y más ángulos de iluminación ajustables fáciles y rápidos a través de la cabeza esférica giratoria ° Medidas: 23cm x 16cm NO INCLUYE TRIPODE</t>
  </si>
  <si>
    <t>ARO DE LUZ 14’BLANCA C/TRIP LJJ-36/QX360</t>
  </si>
  <si>
    <t>H:\OneDrive\TRABAJOS\TAO Accesorios\web reina\imagenes\ARO_DE_LUZ_14BLANCA_CTRIP_LJJ36QX360.jpg</t>
  </si>
  <si>
    <t>https://reinaelectronica.com.ar/producto/aro-de-luz-14blanca-c-trip-ljj-36-qx360/</t>
  </si>
  <si>
    <t>ARO DE LUZ RGB MJ26 C/ TRIPODE</t>
  </si>
  <si>
    <t>H:\OneDrive\TRABAJOS\TAO Accesorios\web reina\imagenes\ARO_DE_LUZ_RGB_MJ26_C_TRIPODE.jpg</t>
  </si>
  <si>
    <t>https://reinaelectronica.com.ar/producto/aro-de-luz-rgb-mj26-c-tripode/</t>
  </si>
  <si>
    <t>Transforma tus fotos, videos y transmisiones con una iluminación profesional. Este aro de luz de 10? con tecnología LED RGB te ofrece más de 150 configuraciones y 10 colores ajustables dentro de la gama RGB donde los principales son Rojo, Verde y Azul, incluidos tonos cálidos, fríos y colores vibrantes para cada ocasión. ¡Crea ambientes únicos y eleva la calidad de tus producciones en segundos!</t>
  </si>
  <si>
    <t>LASER MULTIPUNTO SUONO</t>
  </si>
  <si>
    <t>H:\OneDrive\TRABAJOS\TAO Accesorios\web reina\imagenes\LASER_MULTIPUNTO_SUONO.png</t>
  </si>
  <si>
    <t>https://reinaelectronica.com.ar/producto/laser-multipunto-suono/</t>
  </si>
  <si>
    <t>REFLECTOR LED PORTATIL PANEL RLRL-24</t>
  </si>
  <si>
    <t>H:\OneDrive\TRABAJOS\TAO Accesorios\web reina\imagenes\REFLECTOR_LED_PORTATIL_PANEL_RLRL24.jpg</t>
  </si>
  <si>
    <t>https://reinaelectronica.com.ar/producto/reflector-led-portatil-panel-rlrl-24/</t>
  </si>
  <si>
    <t>° Liviano y portátil ° Regulación del CCT ° Ajuste de brillo del 5 al 100% ° Incluye control remoto y kit de instalación ° Conveniente para instalar en una cámara, trípode, soporte de luz y más ángulos de iluminación ajustables fáciles y rápidos a través de la cabeza esférica giratoria ° Medidas 47cm X 28cm</t>
  </si>
  <si>
    <t>ARO DE LUZ 10′ C/TRIPODE QX260</t>
  </si>
  <si>
    <t>H:\OneDrive\TRABAJOS\TAO Accesorios\web reina\imagenes\ARO_DE_LUZ_10_CTRIPODE_QX260.jpg</t>
  </si>
  <si>
    <t>https://reinaelectronica.com.ar/producto/aro-de-luz-10-c-tripode-qx260/</t>
  </si>
  <si>
    <t>ARO DE LUZ 12′ RGB C/ TRIPODE MJ30</t>
  </si>
  <si>
    <t>H:\OneDrive\TRABAJOS\TAO Accesorios\web reina\imagenes\ARO_DE_LUZ_12_RGB_C_TRIPODE_MJ30.jpg</t>
  </si>
  <si>
    <t>https://reinaelectronica.com.ar/producto/aro-de-luz-12-rgb-c-tripode-mj30/</t>
  </si>
  <si>
    <t>FOCO ENERGY SAVING BOMBILLA 8W A60-8</t>
  </si>
  <si>
    <t>H:\OneDrive\TRABAJOS\TAO Accesorios\web reina\imagenes\FOCO_ENERGY_SAVING_BOMBILLA_8W_A608.jpg</t>
  </si>
  <si>
    <t>https://reinaelectronica.com.ar/producto/foco-energy-saving-bombilla-8w-a60-8/</t>
  </si>
  <si>
    <t>GUIRNALDA SOLAR DE FLOR CALIDA X30 LED</t>
  </si>
  <si>
    <t>H:\OneDrive\TRABAJOS\TAO Accesorios\web reina\imagenes\GUIRNALDA_SOLAR_DE_FLOR_CALIDA_X30_LED.png</t>
  </si>
  <si>
    <t>https://reinaelectronica.com.ar/producto/guirnalda-solar-de-flor-calida-x30-led/</t>
  </si>
  <si>
    <t>GUIRNALDA SOLAR DE FLOR RGB X30 LED</t>
  </si>
  <si>
    <t>H:\OneDrive\TRABAJOS\TAO Accesorios\web reina\imagenes\GUIRNALDA_SOLAR_DE_FLOR_RGB_X30_LED.png</t>
  </si>
  <si>
    <t>https://reinaelectronica.com.ar/producto/guirnalda-solar-de-flor-rgb-x30-led/</t>
  </si>
  <si>
    <t>GUIRNALDA X100 LUZ AZUL DA-16</t>
  </si>
  <si>
    <t>H:\OneDrive\TRABAJOS\TAO Accesorios\web reina\imagenes\GUIRNALDA_X100_LUZ_AZUL_DA16.png</t>
  </si>
  <si>
    <t>https://reinaelectronica.com.ar/producto/guirnalda-x100-luz-azul-da-16/</t>
  </si>
  <si>
    <t>LASER RECARGABLE LAMBO TECH 03-3A</t>
  </si>
  <si>
    <t>H:\OneDrive\TRABAJOS\TAO Accesorios\web reina\imagenes\LASER_RECARGABLE_LAMBO_TECH_033A.png</t>
  </si>
  <si>
    <t>https://reinaelectronica.com.ar/producto/laser-recargable-lambo-tech-03-3a/</t>
  </si>
  <si>
    <t>MANGUERA DE LUCES LED BLANCAS OSR</t>
  </si>
  <si>
    <t>H:\OneDrive\TRABAJOS\TAO Accesorios\web reina\imagenes\MANGUERA_DE_LUCES_LED_BLANCAS_OSR.png</t>
  </si>
  <si>
    <t>https://reinaelectronica.com.ar/producto/manguera-de-luces-led-blancas-osr/</t>
  </si>
  <si>
    <t>TIRA DE LUCES LED X600 CALIDA 20M</t>
  </si>
  <si>
    <t>H:\OneDrive\TRABAJOS\TAO Accesorios\web reina\imagenes\TIRA_DE_LUCES_LED_X600_CALIDA_20M.png</t>
  </si>
  <si>
    <t>https://reinaelectronica.com.ar/producto/tira-de-luces-led-x600-calida-20m/</t>
  </si>
  <si>
    <t>TIRA DE LUZ NEON VARIOS COLORES</t>
  </si>
  <si>
    <t>H:\OneDrive\TRABAJOS\TAO Accesorios\web reina\imagenes\TIRA_DE_LUZ_NEON_VARIOS_COLORES.jpg</t>
  </si>
  <si>
    <t>https://reinaelectronica.com.ar/producto/tira-de-luz-neon-varios-colores/</t>
  </si>
  <si>
    <t>varios colores disponibles</t>
  </si>
  <si>
    <t>LINTERNA CAJA VERDE 911</t>
  </si>
  <si>
    <t>H:\OneDrive\TRABAJOS\TAO Accesorios\web reina\imagenes\LINTERNA_CAJA_VERDE_911.jpg</t>
  </si>
  <si>
    <t>https://reinaelectronica.com.ar/producto/linterna-caja-verde-911/</t>
  </si>
  <si>
    <t>Tipo de alimentación: batería. Cantidad de modos de cambio de luz: 3. Tipo de luz: led Potencia: . Alcance de proyección: . Incluye pilas. Con zoom. Es recargable. Es a prueba de agua.</t>
  </si>
  <si>
    <t>LINTERNA RECARGABLE P50</t>
  </si>
  <si>
    <t>H:\OneDrive\TRABAJOS\TAO Accesorios\web reina\imagenes\LINTERNA_RECARGABLE_P50.jpg</t>
  </si>
  <si>
    <t>https://reinaelectronica.com.ar/producto/linterna-recargable-p50/</t>
  </si>
  <si>
    <t>° Material aluminio ° Alcance de 500m ° Luz LED color blanca ° precisión y óptima visión ° Zoom incorporado con máximo enfoque y claridad ° Incluye accesorios</t>
  </si>
  <si>
    <t>LINTERNA RECARGABLE TGX-702 19 LED</t>
  </si>
  <si>
    <t>H:\OneDrive\TRABAJOS\TAO Accesorios\web reina\imagenes\LINTERNA_RECARGABLE_TGX702_19_LED.jpg</t>
  </si>
  <si>
    <t>https://reinaelectronica.com.ar/producto/linterna-recargable-tgx-702-19-led/</t>
  </si>
  <si>
    <t>° Modelo: 8009 ° 1 LED de 1W ° Material: Plástico resistente ° Modos de Iluminación: Principal y lateral ° Pontencia: 150 lumens ° Alimentación: batería ion litio 1200mAh ° Incluye cable para carga USB ° Tiempo de carga: 4 horas ° Duración de la batería: 6 hs ° Alcance: 150mts</t>
  </si>
  <si>
    <t>LINTERNA RECARGABLE TOOLS ORYX OR125A/03</t>
  </si>
  <si>
    <t>H:\OneDrive\TRABAJOS\TAO Accesorios\web reina\imagenes\LINTERNA_RECARGABLE_TOOLS_ORYX_OR125A03.jpg</t>
  </si>
  <si>
    <t>https://reinaelectronica.com.ar/producto/linterna-recargable-tools-oryx-or125a-03/</t>
  </si>
  <si>
    <t>° Material: Plástico resistente ° Es ligera y está diseñada para un uso práctico y prolongado ° Autonomía de hasta 10 horas, perfecta para largas jornadas sin interrupciones ° Batería recargable ° Interruptor de encendido ° 2 Niveles de intensidad ° Potencia 5W, garantiza una iluminación clara y eficiente</t>
  </si>
  <si>
    <t>MINI LINTERNA KEYCHAIN BOLSILLO COB-150</t>
  </si>
  <si>
    <t>H:\OneDrive\TRABAJOS\TAO Accesorios\web reina\imagenes\MINI_LINTERNA_KEYCHAIN_BOLSILLO_COB150.jpg</t>
  </si>
  <si>
    <t>https://reinaelectronica.com.ar/producto/mini-linterna-keychain-bolsillo-cob-150/</t>
  </si>
  <si>
    <t>°Luz COB LED de alta intensidad °Recargable por USB (cable incluido) °Función destapador integrada °Diseño compacto con clip y llavero °Ideal para actividades al aire libre o uso diario</t>
  </si>
  <si>
    <t>LUZ DE EMERGENCIA 30 LED</t>
  </si>
  <si>
    <t>H:\OneDrive\TRABAJOS\TAO Accesorios\catalogo maestro\imagen\LUZ DE EMERGENCIA 30 LED.jpg</t>
  </si>
  <si>
    <t>LUZ DE EMERGENCIA 60 LED MS7006M/OR-60L</t>
  </si>
  <si>
    <t>H:\OneDrive\TRABAJOS\TAO Accesorios\web reina\imagenes\LUZ_DE_EMERGENCIA_60_LED_MS7006MOR60L.png</t>
  </si>
  <si>
    <t>https://reinaelectronica.com.ar/producto/luz-de-emergencia-60-led-ms7006m-or-60l/</t>
  </si>
  <si>
    <t>•Voltaje: 220V •Cuenta con 60 LEDs. •Funciona a Batería que además es recargable. •Su batería tarda 24 h en cargarse. •Flujo luminoso máximo de 200lm. •Confeccionada con policarbonato ignífugo. •Tiene encendido automático</t>
  </si>
  <si>
    <t>LUZ DE EMERGENCIA 90 LED</t>
  </si>
  <si>
    <t>H:\OneDrive\TRABAJOS\TAO Accesorios\web reina\imagenes\LUZ_DE_EMERGENCIA_90_LED.png</t>
  </si>
  <si>
    <t>https://reinaelectronica.com.ar/producto/luz-de-emergencia-90-led/</t>
  </si>
  <si>
    <t>TECNOLOGIA</t>
  </si>
  <si>
    <t>CARTEL ‘ABIERTO’</t>
  </si>
  <si>
    <t>H:\OneDrive\TRABAJOS\TAO Accesorios\web reina\imagenes\CARTEL_ABIERTO.jpg</t>
  </si>
  <si>
    <t>https://reinaelectronica.com.ar/producto/cartel-abierto/</t>
  </si>
  <si>
    <t>° Medidas: 48 x 25 x 3 cm °Se enchufa a 220v. °Apto para colgar. °Super bajo consumo</t>
  </si>
  <si>
    <t>CARTEL LED ‘KIOSKO’</t>
  </si>
  <si>
    <t>H:\OneDrive\TRABAJOS\TAO Accesorios\web reina\imagenes\CARTEL_LED_KIOSKO.jpg</t>
  </si>
  <si>
    <t>https://reinaelectronica.com.ar/producto/cartel-led-kiosko-videomax/</t>
  </si>
  <si>
    <t>TV BOX MX9 4K 256 GB MEMORIA</t>
  </si>
  <si>
    <t>H:\OneDrive\TRABAJOS\TAO Accesorios\web reina\imagenes\TV_BOX_MX9_4K_256_GB_MEMORIA.png</t>
  </si>
  <si>
    <t>https://reinaelectronica.com.ar/producto/tv-box-mx9-4k-256-gb-memoria/</t>
  </si>
  <si>
    <t>•La mejor resolución disponible 4K ULTRA HD •Memoria RAM 8GB •Capacidad de almacenamiento 256GB •Conexión HDMI y USB •Sistema operativo Android 13.0 •Incluye control remoto, manual de usuario y accesorios</t>
  </si>
  <si>
    <t>TV BOX STICK R3 8K ANDROID TV 512 GB</t>
  </si>
  <si>
    <t>H:\OneDrive\TRABAJOS\TAO Accesorios\web reina\imagenes\TV_BOX_STICK_R3_8K_ANDROID_TV_512_GB.png</t>
  </si>
  <si>
    <t>https://reinaelectronica.com.ar/producto/tv-box-stick-r3-8k-android-tv-512-gb/</t>
  </si>
  <si>
    <t>SEGURIDAD</t>
  </si>
  <si>
    <t>CAMARA DE SEGURIDAD 2 ANTENAS OR-101</t>
  </si>
  <si>
    <t>H:\OneDrive\TRABAJOS\TAO Accesorios\web reina\imagenes\CAMARA_DE_SEGURIDAD_2_ANTENAS_OR101.jpg</t>
  </si>
  <si>
    <t>https://reinaelectronica.com.ar/producto/camara-de-seguridad-2-antenas-or-101/</t>
  </si>
  <si>
    <t>CAMARA DE SEGURIDAD FOCO OR-103</t>
  </si>
  <si>
    <t>H:\OneDrive\TRABAJOS\TAO Accesorios\web reina\imagenes\CAMARA_DE_SEGURIDAD_FOCO_OR103.png</t>
  </si>
  <si>
    <t>https://reinaelectronica.com.ar/producto/camara-de-seguridad-foco-or-103/</t>
  </si>
  <si>
    <t>•Uso en interior y exterior techado •Micrófono y parlante incorporado. •Sensor de movimiento. •Entrada para tarjeta de memoria. •Conexión por wifi. •360º de rotación. •Resolución HD. •Infrarrojo para visión nocturna. •Voltaje: 220Vca •Potencia: 10W •50/60 Hz</t>
  </si>
  <si>
    <t>CÁMARA DE SEGURIDAD INTELIGENTE ORYX OR-1120</t>
  </si>
  <si>
    <t>H:\OneDrive\TRABAJOS\TAO Accesorios\web reina\imagenes\CÁMARA_DE_SEGURIDAD_INTELIGENTE_ORYX_OR1120.png</t>
  </si>
  <si>
    <t>https://reinaelectronica.com.ar/producto/camara-de-seguridad-inteligente-oryx-or-1120/</t>
  </si>
  <si>
    <t>° Su doble lente permite cubrir un área más amplia sin necesidad de mover la cámara ° Detección de movimiento y sonidos, permite una respuesta rápida ante cualquier actividad sospechosa ° Su micrófono y parlante, te permite la comunicación en tiempo real ° Incluye fuente de alimentación y kit de instalación ° Apta para interior y exterior</t>
  </si>
  <si>
    <t>CAMARA DE SEGURIDAD ORYX IP66 S-1217KA</t>
  </si>
  <si>
    <t>H:\OneDrive\TRABAJOS\TAO Accesorios\web reina\imagenes\CAMARA_DE_SEGURIDAD_ORYX_IP66_S1217KA.png</t>
  </si>
  <si>
    <t>https://reinaelectronica.com.ar/producto/camara-de-seguridad-oryx-ip66-s-1217ka/</t>
  </si>
  <si>
    <t>° Con intercomunicador ° Seguimiento automático de 1080px ° Micrófono ° Infrarojo ultra lejano y por movimiento ° Admite tarjeta TF</t>
  </si>
  <si>
    <t>CAMARA DE SEGURIDAD X8 TSL-1202</t>
  </si>
  <si>
    <t>H:\OneDrive\TRABAJOS\TAO Accesorios\web reina\imagenes\CAMARA_DE_SEGURIDAD_X8_TSL1202.jpg</t>
  </si>
  <si>
    <t>https://reinaelectronica.com.ar/producto/camara-de-seguridad-x8-tsl-1202/</t>
  </si>
  <si>
    <t>• Aplicación para monitoreo remoto: Danale Cam. • Dirección vertical y horizontal. • Aptas para interior y exterior. • Campo visual hasta 70º. • Sensor de movimiento. • Sistema centralizado. • Resolución 1080P. • Material: plástico. • Visión nocturna.</t>
  </si>
  <si>
    <t>CÁMARA INTELIGENTE WIFI IP66 0R1115KAA</t>
  </si>
  <si>
    <t>H:\OneDrive\TRABAJOS\TAO Accesorios\web reina\imagenes\CÁMARA_INTELIGENTE_WIFI_IP66_0R1115KAA.jpg</t>
  </si>
  <si>
    <t>https://reinaelectronica.com.ar/producto/camara-inteligente-wifi-ip66-0r1115kaa/</t>
  </si>
  <si>
    <t>°Para interior y exterior °Conexión Wifi °Microfono incorporado °Con intercomunicador °Resolución HD °Admite tarjeta de memoria °Infrarrojo por movimiento °Vision nocturna</t>
  </si>
  <si>
    <t>CAMARA WEB MINI PACKING AF216054</t>
  </si>
  <si>
    <t>H:\OneDrive\TRABAJOS\TAO Accesorios\web reina\imagenes\CAMARA_WEB_MINI_PACKING_AF216054.jpg</t>
  </si>
  <si>
    <t>https://reinaelectronica.com.ar/producto/camara-web-mini-packing-af216054/</t>
  </si>
  <si>
    <t>° Sensor de imagen CMOS a color ° Interfaz: USB ° Enfoque: Manual ° Con micrófono incorporado ° Compatible con diversas plataformas como Skype y ZOOM ° Fácil instalación y configuración, sin importar el sistema operativo que utilicen</t>
  </si>
  <si>
    <t>CONTADORA DE BILLETES M10E</t>
  </si>
  <si>
    <t>H:\OneDrive\TRABAJOS\TAO Accesorios\web reina\imagenes\CONTADORA_DE_BILLETES_M10E.jpg</t>
  </si>
  <si>
    <t>https://reinaelectronica.com.ar/producto/contadora-de-billetes-m10e/</t>
  </si>
  <si>
    <t>° Compatible con dólar, euro y peso ° Detección de billetes falsos ° Detención e inicio automático ° Velocidad aproximada de 1000 unidades por minuto ° Procesamiento por lote y auto examinación ° Sensor magnético ultra sensible ° Luz ultra violeta certificada ° Con display digital</t>
  </si>
  <si>
    <t>PROYECTOR SMART CON ANDROID LEGATUS LPY851</t>
  </si>
  <si>
    <t>H:\OneDrive\TRABAJOS\TAO Accesorios\web reina\imagenes\PROYECTOR_SMART_CON_ANDROID_LEGATUS_LPY851.jpg</t>
  </si>
  <si>
    <t>https://reinaelectronica.com.ar/producto/proyector-smart-legatus-lpy851/</t>
  </si>
  <si>
    <t>° Material: ABS ° Potencia: 85W ° Voltaje: 220v ° Tecnología: Led ° Resolución soportada: 4K ° Calidad de imagen: HD ° Rotación: 180º ° Pulgadas: hasta 130? ° Audio incorporado: Si ° Compatibilidad para transmitir pantallas: Android y IOS, MAC (Screen Mirroring y Airplay) ° Incluye control remoto</t>
  </si>
  <si>
    <t>TV BOX ORYX 6K 8GB-128GB</t>
  </si>
  <si>
    <t>H:\OneDrive\TRABAJOS\TAO Accesorios\web reina\imagenes\TV_BOX_ORYX_6K_8GB128GB.png</t>
  </si>
  <si>
    <t>https://reinaelectronica.com.ar/producto/tv-box-oryx-6k-8gb-128gb/</t>
  </si>
  <si>
    <t>° La mejor resolución disponible 6K ULTRA HD ° Memoria RAM 8GB ° Capacidad de almacenamiento 128GB ° Con conectividad wifi y bluetooth ° Conexión HDMI y USB ° Sistema operativo Android 12.1 ° Incluye control remoto</t>
  </si>
  <si>
    <t>MICROFONO KARAOKE E-4905</t>
  </si>
  <si>
    <t>H:\OneDrive\TRABAJOS\TAO Accesorios\web reina\imagenes\MICROFONO_KARAOKE_E4905.jpg</t>
  </si>
  <si>
    <t>https://reinaelectronica.com.ar/producto/microfono-karaoke-e-4905/</t>
  </si>
  <si>
    <t>° Cuenta con conexión bluetooth, auxiliar, micro SD y USB ° Bidireccional ° Batería recargable ° Parlante incorporado ° Efecto modificador de voz ° Función altavoz ° Función grabadora de voz ° Compatible con iOS y Android</t>
  </si>
  <si>
    <t>SOPORTE TV</t>
  </si>
  <si>
    <t>SOPORTE TV FIJO TV 1442</t>
  </si>
  <si>
    <t>H:\OneDrive\TRABAJOS\TAO Accesorios\web reina\imagenes\SOPORTE_TV_FIJO_TV_1442.jpg</t>
  </si>
  <si>
    <t>https://reinaelectronica.com.ar/producto/soporte-tv-fijo-tv-1442/</t>
  </si>
  <si>
    <t>° Estructura de alta resistencia ° Estable y fiable ° Ahorra espacios ° Fácil y rápida instalación ° Incluye Kit de tornillos y tarugos</t>
  </si>
  <si>
    <t>SOPORTE TV FIJO TV 2663</t>
  </si>
  <si>
    <t>H:\OneDrive\TRABAJOS\TAO Accesorios\web reina\imagenes\SOPORTE_TV_FIJO_TV_2663.jpg</t>
  </si>
  <si>
    <t>https://reinaelectronica.com.ar/producto/soporte-tv-fijo-tv-2663/</t>
  </si>
  <si>
    <t>SOPORTE PARA TV RECLINABLE 32″- 55″</t>
  </si>
  <si>
    <t>H:\OneDrive\TRABAJOS\TAO Accesorios\web reina\imagenes\SOPORTE_PARA_TV_RECLINABLE_32_55.png</t>
  </si>
  <si>
    <t>https://reinaelectronica.com.ar/producto/soporte-reclianble-para-tv-reclinable-32-55/</t>
  </si>
  <si>
    <t>JOYSTICK PS4 GENERICO LISO</t>
  </si>
  <si>
    <t>H:\OneDrive\TRABAJOS\TAO Accesorios\web reina\imagenes\JOYSTICK_PS4_GENERICO_LISO.jpg</t>
  </si>
  <si>
    <t>https://reinaelectronica.com.ar/producto/joystick-ps4-generico-liso/</t>
  </si>
  <si>
    <t>Cuenta con Bluetooth. Pantalla táctil. Mando inalámbrico. Compatible con: PlayStation 4. Con sistema de vibración incorporado. Cuenta con 1 cable usb. Largo del cable: 1m Diversión garantizada con tu joystick Double motor. Diseño ergonómico.</t>
  </si>
  <si>
    <t>CABLE V3 A USB / PS3</t>
  </si>
  <si>
    <t>H:\OneDrive\TRABAJOS\TAO Accesorios\web reina\imagenes\CABLE_V3_A_USB__PS3.jpg</t>
  </si>
  <si>
    <t>https://reinaelectronica.com.ar/producto/cable-v3-a-usb-ps3/</t>
  </si>
  <si>
    <t>· Cable de carga y sincronismo compatible con mando de Play 3 Dualshock 3. · Tipo de conector de entrada: Usb. · Tipo de conector de salida: V3 (Para Joystick de Play 3) · Carga o Sincroniza tu Joystick. · Largo del cable cargador de 1.5 metros. · USB de sincronismo con la consola. · Incorpora filtro con ferrita magnética que protege el joystick y mantiene la sensibilidad y precisión en el mando.</t>
  </si>
  <si>
    <t>CONSOLAS</t>
  </si>
  <si>
    <t>CONSOLA GAME STICK M8 2.4G WIRELESS</t>
  </si>
  <si>
    <t>H:\OneDrive\TRABAJOS\TAO Accesorios\web reina\imagenes\CONSOLA_GAME_STICK_M8_24G_WIRELESS.jpg</t>
  </si>
  <si>
    <t>https://reinaelectronica.com.ar/producto/consola-game-stick-m8-2-4g-wireless/</t>
  </si>
  <si>
    <t>° 9 consolas diferentes en 1 entre ellas las más populares como Playstation, Nintendo y Sega ° Más de 10.000 juegos incluídos ° Resolución ultra HD 4K ° Conexión HDMI ° Los mandos tienen conexión inalámbrica 2.4GHZ ° Admite el modo multijugador ° Podés guardar las partidas de todos los juegos y continuarlas cuando quieras  Incluye: ° Consola Game Stick ° 2 Joystick inalámbricos ° Dongle Bluetooth ° Alargue HDMI ° Memoria de 64gb ° 1 manual de instrucciones</t>
  </si>
  <si>
    <t>JOYSTICK PARA CELULAR W10</t>
  </si>
  <si>
    <t>H:\OneDrive\TRABAJOS\TAO Accesorios\web reina\imagenes\JOYSTICK_PARA_CELULAR_W10.jpg</t>
  </si>
  <si>
    <t>https://reinaelectronica.com.ar/producto/joystick-para-celular-w10/</t>
  </si>
  <si>
    <t>-Soporte estirable: el soporte puede estirar y estabilizar el teléfono, puede adaptarse a un teléfono móvil de 6,5-4,7 pulgadas,  -Diseño fácil de usar: el controlador de juegos móvil no aprieta los botones del teléfono y las tomas, puede cargar y conecta</t>
  </si>
  <si>
    <t>JOYSTICK PARA PS2 ANALÓGICO</t>
  </si>
  <si>
    <t>H:\OneDrive\TRABAJOS\TAO Accesorios\web reina\imagenes\JOYSTICK_PARA_PS2_ANALÓGICO.png</t>
  </si>
  <si>
    <t>https://reinaelectronica.com.ar/producto/joystick-para-ps2-analogico/</t>
  </si>
  <si>
    <t>° Diseño Ergonómico para mayor comodidad en el juego ° 12 botones de acción programables para cada juego ° 2 Palancas analógicas ° 2 motores internos para una vibración dual ° Cable de 1.8mts de longitud ° Luz LED indicadora de funcionamiento</t>
  </si>
  <si>
    <t>JOYSTICK SONY PS5 DUAL SENSE</t>
  </si>
  <si>
    <t>H:\OneDrive\TRABAJOS\TAO Accesorios\web reina\imagenes\JOYSTICK_SONY_PS5_DUAL_SENSE.jpg</t>
  </si>
  <si>
    <t>https://reinaelectronica.com.ar/producto/joystick-sony-ps5-dual-sense/</t>
  </si>
  <si>
    <t>° Siente las acciones y los entornos simulados en el juego a través de la retroalimentación táctil ° Experimenta tanto la fuerza como la tensión en tus dedos gracias a los gatillos adaptativos ° Conecta directamente los auriculares mediante el conector de 3,5 mm ° Captura y transmite tus momentos de juego más épicos con el botón de crear ° Conéctalo mediante un cable USB Type-C® o la tecnología Bluetooth® y juega sin complicaciones en más dispositivos, como ordenadores Windows y Mac® o móviles Android e iOS ° Disfruta de un diseño cómodo y evolucionado con un diseño icónico y joystick mejorados</t>
  </si>
  <si>
    <t>JOYSTICK XBOX 360</t>
  </si>
  <si>
    <t>H:\OneDrive\TRABAJOS\TAO Accesorios\web reina\imagenes\JOYSTICK_XBOX_360.jpg</t>
  </si>
  <si>
    <t>https://reinaelectronica.com.ar/producto/joystick-xbox-360/</t>
  </si>
  <si>
    <t>– Alimentación: 2 pilas AA (no incluidas); – Tipo: Inalámbrico; – Frecuencia: 2,4 GHz; – Alcance: Hasta 10 metros LIBRES – Diseño original; – Compatibilidad: Xbox 360.</t>
  </si>
  <si>
    <t>MINI CONSOLA GAMER SUONO 84-SUO082</t>
  </si>
  <si>
    <t>H:\OneDrive\TRABAJOS\TAO Accesorios\web reina\imagenes\MINI_CONSOLA_GAMER_SUONO_84SUO082.jpg</t>
  </si>
  <si>
    <t>https://reinaelectronica.com.ar/producto/mini-consola-gamer-suono-84-suo082/</t>
  </si>
  <si>
    <t>Consola de juegos con 620 juegos clásicos integrados en 8 bit Tiene un diseño clásico a la NES, con controles universales de 9 Pin Cantidad de Juegos: 620 Color: gris Dimensiones: 12,7 x 10,2 x 4,3 cm Se entrega con: 1x Consola de Juegos 1x Cable de carga 1x Fuente de alimentación 1x Cable RCA a 3,5mm 2x Control adicional Manual del usuario</t>
  </si>
  <si>
    <t>MOUSE CON CABLE LEGATUS LM-G212-E</t>
  </si>
  <si>
    <t>H:\OneDrive\TRABAJOS\TAO Accesorios\web reina\imagenes\MOUSE_CON_CABLE_LEGATUS_LMG212E.jpg</t>
  </si>
  <si>
    <t>https://reinaelectronica.com.ar/producto/mouse-con-cable-legatus-lm-g212-e/</t>
  </si>
  <si>
    <t>° 1200 DPI ° Interfaz USB 3.0 ° Puede usarse con ambas manos ° Es compatible con Windows, desde XP hasta 11 y Mac</t>
  </si>
  <si>
    <t>SMARTWATCH</t>
  </si>
  <si>
    <t>SMARTWATCH ULTRA ZT 70 + AIRPODS</t>
  </si>
  <si>
    <t>H:\OneDrive\TRABAJOS\TAO Accesorios\web reina\imagenes\SMARTWATCH_ULTRA_ZT_70__AIRPODS.png</t>
  </si>
  <si>
    <t>https://reinaelectronica.com.ar/producto/smartwatch-ultra-zt-70-airpods/</t>
  </si>
  <si>
    <t>ESTABILIZADOR KANJI SL9205</t>
  </si>
  <si>
    <t>H:\OneDrive\TRABAJOS\TAO Accesorios\web reina\imagenes\ESTABILIZADOR_KANJI_SL9205.jpg</t>
  </si>
  <si>
    <t>https://reinaelectronica.com.ar/producto/estabilizador-kanji-sl9205/</t>
  </si>
  <si>
    <t>Voltaje de entrada: 110V/220V Tiene 5 tomas.</t>
  </si>
  <si>
    <t>MOUSE Y TECLADO</t>
  </si>
  <si>
    <t>MOUSE CON CABLE LEGATUS LM-G211-E</t>
  </si>
  <si>
    <t>H:\OneDrive\TRABAJOS\TAO Accesorios\web reina\imagenes\MOUSE_CON_CABLE_LEGATUS_LMG211E.png</t>
  </si>
  <si>
    <t>https://reinaelectronica.com.ar/producto/mouse-con-cable-legatus-lm-g211-e/</t>
  </si>
  <si>
    <t>MOUSE INALAMBRICO RC RMG 226-2</t>
  </si>
  <si>
    <t>H:\OneDrive\TRABAJOS\TAO Accesorios\web reina\imagenes\MOUSE_INALAMBRICO_RC_RMG_2262.png</t>
  </si>
  <si>
    <t>https://reinaelectronica.com.ar/producto/mouse-inalambrico-rc-rmg-226-2/</t>
  </si>
  <si>
    <t>•Ahorro de energia inteligente •Distancia de trabajo 10m aprox •2.4G •Puede usarse con ambas manos</t>
  </si>
  <si>
    <t>MOUSE INALAMBRICO RC RM-G136-2</t>
  </si>
  <si>
    <t>H:\OneDrive\TRABAJOS\TAO Accesorios\web reina\imagenes\MOUSE_INALAMBRICO_RC_RMG1362.png</t>
  </si>
  <si>
    <t>https://reinaelectronica.com.ar/producto/mouse-inalambrico-rc-rm-g136-2/</t>
  </si>
  <si>
    <t>MOUSE INALAMBRICO RC RM-G211-2</t>
  </si>
  <si>
    <t>H:\OneDrive\TRABAJOS\TAO Accesorios\web reina\imagenes\MOUSE_INALAMBRICO_RC_RMG2112.png</t>
  </si>
  <si>
    <t>https://reinaelectronica.com.ar/producto/mouse-inalambrico-rc-rm-g211-2/</t>
  </si>
  <si>
    <t>MOUSE INALAMBRICO WEIB 2.4G</t>
  </si>
  <si>
    <t>H:\OneDrive\TRABAJOS\TAO Accesorios\web reina\imagenes\MOUSE_INALAMBRICO_WEIB_24G.png</t>
  </si>
  <si>
    <t>https://reinaelectronica.com.ar/producto/mouse-inalambrico-weib-2-4g/</t>
  </si>
  <si>
    <t>REPETIDOR WIFI LEGATUS</t>
  </si>
  <si>
    <t>H:\OneDrive\TRABAJOS\TAO Accesorios\web reina\imagenes\REPETIDOR_WIFI_LEGATUS.jpg</t>
  </si>
  <si>
    <t>https://reinaelectronica.com.ar/producto/repetidor-wifi-legatus/</t>
  </si>
  <si>
    <t>° Larga distancia, señal fuerte, fácil operación y booster universal ° Velocidad de 300 Mbps ° Banda de 2.4 Hz ° Indicador de energía ° Indicador wireless ° Indicador WPS ° Indicador LAN</t>
  </si>
  <si>
    <t>ROUTER LEGATUS LY-UNT300M</t>
  </si>
  <si>
    <t>H:\OneDrive\TRABAJOS\TAO Accesorios\web reina\imagenes\ROUTER_LEGATUS_LYUNT300M.png</t>
  </si>
  <si>
    <t>https://reinaelectronica.com.ar/producto/router-legatus-ly-unt300m/</t>
  </si>
  <si>
    <t>•Wifi a través de las paredes •Multimodo: Modo Repetido/ Modo AP / Modo de ruta •6 antenas •300 MBPS a 2.4GHz •4 x LAN</t>
  </si>
  <si>
    <t>TECLADO + MOUSE CON CABLE A-1016</t>
  </si>
  <si>
    <t>H:\OneDrive\TRABAJOS\TAO Accesorios\web reina\imagenes\TECLADO__MOUSE_CON_CABLE_A1016.png</t>
  </si>
  <si>
    <t>https://reinaelectronica.com.ar/producto/teclado-mouse-con-cable-a-1016/</t>
  </si>
  <si>
    <t>TECLADO + MOUSE INALAMBRICO A-1012</t>
  </si>
  <si>
    <t>H:\OneDrive\TRABAJOS\TAO Accesorios\web reina\imagenes\TECLADO__MOUSE_INALAMBRICO_A1012.png</t>
  </si>
  <si>
    <t>https://reinaelectronica.com.ar/producto/teclado-mouse-inalambrico-a-1012/</t>
  </si>
  <si>
    <t>TECLADO INALAMBRICO C/ MOUSE TJ-808</t>
  </si>
  <si>
    <t>H:\OneDrive\TRABAJOS\TAO Accesorios\web reina\imagenes\TECLADO_INALAMBRICO_C_MOUSE_TJ808.png</t>
  </si>
  <si>
    <t>https://reinaelectronica.com.ar/producto/teclado-inalambrico-c-mouse-tj-808/</t>
  </si>
  <si>
    <t>•Color del mouse: Negro •Kit compuesto por teclado TJ-808 y mouse TJ-808. •Idioma del teclado: Español Latinoamérica. •Mouse con sensor óptico y resolución de 1000 dpi. •Interfaz de conexión del teclado usb 2.0. •Combinación perfecta y completa para distintas actividades diarias.</t>
  </si>
  <si>
    <t>MUNECA BARBIE</t>
  </si>
  <si>
    <t>H:\OneDrive\TRABAJOS\TAO Accesorios\web reina\imagenes\MUNECA_BARBIE.jpg</t>
  </si>
  <si>
    <t>https://reinaelectronica.com.ar/producto/muneca-barbie/</t>
  </si>
  <si>
    <t>CONSOLA PUSH POP IT</t>
  </si>
  <si>
    <t>H:\OneDrive\TRABAJOS\TAO Accesorios\catalogo maestro\imagen\CONSOLA PUSH POP IT.jpg</t>
  </si>
  <si>
    <t>PELOTA INFLABLE 50CM CHOCOLATE</t>
  </si>
  <si>
    <t>H:\OneDrive\TRABAJOS\TAO Accesorios\catalogo maestro\imagen\PELOTA INFLABLE 50CM CHOCOLATE.jpg</t>
  </si>
  <si>
    <t>SALVAVIDAS 50CM ESTAMPADO</t>
  </si>
  <si>
    <t>H:\OneDrive\TRABAJOS\TAO Accesorios\catalogo maestro\imagen\SALVAVIDAS 50CM ESTAMPADO.jpg</t>
  </si>
  <si>
    <t>AMETRALLADORA HIDROGEL G360/G950/G918</t>
  </si>
  <si>
    <t>H:\OneDrive\TRABAJOS\TAO Accesorios\web reina\imagenes\AMETRALLADORA_HIDROGEL_G360G950G918.jpg</t>
  </si>
  <si>
    <t>https://reinaelectronica.com.ar/producto/ametralladora-hidrogel-g360-g950-g918/</t>
  </si>
  <si>
    <t>° Material: Plástico ABS ° Funcionamiento: Batería recargable (Incluida) ° Dimensiones Pistola : 31 cm x 13 cm ° Apto para niños + 8 Años ° Alcance: 25m aprox ° Velocidad de disparo: 2-3 rondas por segundo ° Contenido de la caja : Pistola – Tanque de almacenamiento – Batería recargable – Cable de carga – Bolas de hidrogel y Lentes de seguridad</t>
  </si>
  <si>
    <t>AMETRALLADORA HYDROGEL G707/G737/G757</t>
  </si>
  <si>
    <t>H:\OneDrive\TRABAJOS\TAO Accesorios\web reina\imagenes\AMETRALLADORA_HYDROGEL_G707G737G757.jpg</t>
  </si>
  <si>
    <t>https://reinaelectronica.com.ar/producto/ametralladora-hyfrogel-g707-g737-g757/</t>
  </si>
  <si>
    <t>ºTipo de Disparo: Automático ºAlcance: Hasta 15 metros ºCapacidad del cargador: 300 proyectiles de hidrogel ºTamaño de los Proyectiles: 7-8 mm de diámetro ºFuente de Alimentación: Batería recargable ºTiempo de Recarga de Cargador: Aproximadamente 1-2 minutos ºMaterial: Plástico ABS de alta calidad y durabilidad</t>
  </si>
  <si>
    <t>AUTO A CONTROL REMOTO SPIDERMAN</t>
  </si>
  <si>
    <t>H:\OneDrive\TRABAJOS\TAO Accesorios\web reina\imagenes\AUTO_A_CONTROL_REMOTO_SPIDERMAN.png</t>
  </si>
  <si>
    <t>https://reinaelectronica.com.ar/producto/auto-a-control-remoto-spiderman/</t>
  </si>
  <si>
    <t>° Luces LED RGB ° Recargable USB ° Rotación de 360° y volteretas de 180° en ambos lados de conducción, avanzar y retroceder es muy simple y fácil de operar. ° El diseño todoterreno le permite moverse fácilmente en tierra, arena, césped, arena y agua. ° Perfecto para niños y niñas de 4 a 12 años ° Fácil de operar: El control remoto de 2.4GHz sin interferencias permite a los niños experimentar la diversión de las carreras alcanzando hasta 50 metros en tierra. ° Material de alta calidad, resistente a impactos y colisiones</t>
  </si>
  <si>
    <t>CAMARA CON IMPRESORA CA-8878</t>
  </si>
  <si>
    <t>H:\OneDrive\TRABAJOS\TAO Accesorios\web reina\imagenes\CAMARA_CON_IMPRESORA_CA8878.jpg</t>
  </si>
  <si>
    <t>https://reinaelectronica.com.ar/producto/camara-con-impresora-ca-8878/</t>
  </si>
  <si>
    <t>° Pantalla de 2,4? ofrece fotos de hasta 48MP y video HD de 1080P, admite disparo con flash y zoom ° Cuenta con marcos de fotos y filtros que permiten crear fotos divertidas, que se pueden almacenar o imprimir ° Esta cámara digital imprime fotos en blanco y negro al instante. Pero los archivos de fotos en color se guardarán automáticamente en la memoria</t>
  </si>
  <si>
    <t>CONSOLA PUSH C/LUZ Y MUSICA WA49</t>
  </si>
  <si>
    <t>H:\OneDrive\TRABAJOS\TAO Accesorios\web reina\imagenes\CONSOLA_PUSH_CLUZ_Y_MUSICA_WA49.jpg</t>
  </si>
  <si>
    <t>https://reinaelectronica.com.ar/producto/consola-push-c-luz-y-musica-wa49/</t>
  </si>
  <si>
    <t>° Con distintos niveles ° Sonido regulable ° Luminoso 100%. Con tres ajustes de control diferentes que cuanto más rápida sea la velocidad, más luces aparecerán y mayor será la dificultad de juego ° Libre de BPA ° Utiliza 3 pilas AAA (No incluídas)</t>
  </si>
  <si>
    <t>CONSOLA PUSH RUSSIA/CONSOLA BAILE</t>
  </si>
  <si>
    <t>H:\OneDrive\TRABAJOS\TAO Accesorios\web reina\imagenes\CONSOLA_PUSH_RUSSIACONSOLA_BAILE.jpg</t>
  </si>
  <si>
    <t>https://reinaelectronica.com.ar/producto/consola-push-russia-consola-baile/</t>
  </si>
  <si>
    <t>° Satisface las necesidades de diferentes grupos de edad ° La consola de juegos utiliza una interfaz de operación intuitiva, que es simple y fácil de usar ° Juego multisensorial, de destreza, coordinación, atención y memoria ° Distintos niveles y modos de juego ° Luz led ° Hecho de abs ° Libre de BPA ° Utiliza 3 pilas AA (No incluídas)</t>
  </si>
  <si>
    <t>INFLADOR DE GLOBOS OSR</t>
  </si>
  <si>
    <t>H:\OneDrive\TRABAJOS\TAO Accesorios\web reina\imagenes\INFLADOR_DE_GLOBOS_OSR.png</t>
  </si>
  <si>
    <t>https://reinaelectronica.com.ar/producto/inflador-de-globos-osr/</t>
  </si>
  <si>
    <t>LABUBU BAILARIN CON LUZ WT-19</t>
  </si>
  <si>
    <t>H:\OneDrive\TRABAJOS\TAO Accesorios\web reina\imagenes\LABUBU_BAILARIN_CON_LUZ_WT19.png</t>
  </si>
  <si>
    <t>https://reinaelectronica.com.ar/producto/labubu-bailarin-con-luz-wt-19/</t>
  </si>
  <si>
    <t>MANTA ALMOHADA CAPIBARA</t>
  </si>
  <si>
    <t>H:\OneDrive\TRABAJOS\TAO Accesorios\web reina\imagenes\MANTA_ALMOHADA_CAPIBARA.png</t>
  </si>
  <si>
    <t>https://reinaelectronica.com.ar/producto/manta-almohada-capibara/</t>
  </si>
  <si>
    <t>° Tamaño Ideal 180x100cm ° Manta Suave que proporciona calor y confort, perfecta para días fríos o para momentos de relajación ° Fabricado con materiales hipoalergénicos y de alta calidad ° Diseño atractivo: Su diseño encantador, disponible en color marrón °Puede usarlo como almohada o como manta</t>
  </si>
  <si>
    <t>MAQUINA PARA HACER TRENZAS OSR GBH01</t>
  </si>
  <si>
    <t>H:\OneDrive\TRABAJOS\TAO Accesorios\web reina\imagenes\MAQUINA_PARA_HACER_TRENZAS_OSR_GBH01.jpg</t>
  </si>
  <si>
    <t>https://reinaelectronica.com.ar/producto/maquina-para-hacer-trenzas-osr-gbh01/</t>
  </si>
  <si>
    <t>° Material: ABS °Pilas utilizadas: 3 pilas productos °1 trenzador °9 fijador de banda de goma °30banda de goma ° 3 gancho para el cabello ° 1 peine</t>
  </si>
  <si>
    <t>MONOPATIN DE COLORES S2352</t>
  </si>
  <si>
    <t>H:\OneDrive\TRABAJOS\TAO Accesorios\web reina\imagenes\MONOPATIN_DE_COLORES_S2352.png</t>
  </si>
  <si>
    <t>https://reinaelectronica.com.ar/producto/monopatin-de-colores-s2352/</t>
  </si>
  <si>
    <t>° Manubrio que puede llegar a extenderse hasta los 67cm ° Manijas antideslizantes ° Con freno trasero ° Rodamiento ABEC-7 ° Disponible en 4 colores ° Edad +3 años</t>
  </si>
  <si>
    <t>MONOPATIN GRAFITTI</t>
  </si>
  <si>
    <t>H:\OneDrive\TRABAJOS\TAO Accesorios\web reina\imagenes\MONOPATIN_GRAFITTI.png</t>
  </si>
  <si>
    <t>https://reinaelectronica.com.ar/producto/monopatin-grafitti/</t>
  </si>
  <si>
    <t>° Manubrio que puede llegar a extenderse hasta 67cm ° 3 niveles ° Manijas antideslizantes ° Las ruedas de calidad pu (silicona) son silenciosas y encienden luces led al girar ° Rodamientos de alta calidad, reducen la vibración y facilitan la marcha ° Con freno trasero ° Edad +3 años</t>
  </si>
  <si>
    <t>MOTO CON CONTROL REMOTO RCK04 CX-82</t>
  </si>
  <si>
    <t>H:\OneDrive\TRABAJOS\TAO Accesorios\web reina\imagenes\MOTO_CON_CONTROL_REMOTO_RCK04_CX82.png</t>
  </si>
  <si>
    <t>https://reinaelectronica.com.ar/producto/moto-con-control-remoto-rck04-cx-82/</t>
  </si>
  <si>
    <t>PELOTA DE FUTBOL NUMERO 3 MESSI</t>
  </si>
  <si>
    <t>H:\OneDrive\TRABAJOS\TAO Accesorios\web reina\imagenes\PELOTA_DE_FUTBOL_NUMERO_3_MESSI.png</t>
  </si>
  <si>
    <t>https://reinaelectronica.com.ar/producto/pelota-de-futbol-numero-3-messi/</t>
  </si>
  <si>
    <t>MATERIAL cuero sintetico  TAMAÑO 18CM de diametro  cosida a maquina  La pelota no se entrega inflada</t>
  </si>
  <si>
    <t>PELOTA DE FUTBOL NUMERO 5 DISEÑOS VARIOS</t>
  </si>
  <si>
    <t>H:\OneDrive\TRABAJOS\TAO Accesorios\web reina\imagenes\PELOTA_DE_FUTBOL_NUMERO_5_DISEÑOS_VARIOS.png</t>
  </si>
  <si>
    <t>https://reinaelectronica.com.ar/producto/pelota-de-futbol-numero-5-disenos-varios/</t>
  </si>
  <si>
    <t>PULSERA LABUBU CON LUZ Y SONIDO</t>
  </si>
  <si>
    <t>H:\OneDrive\TRABAJOS\TAO Accesorios\web reina\imagenes\PULSERA_LABUBU_CON_LUZ_Y_SONIDO.png</t>
  </si>
  <si>
    <t>https://reinaelectronica.com.ar/producto/pulsera-labubu-con-luz-y-sonido/</t>
  </si>
  <si>
    <t>° Material peluche ° Pulsera con doble agarre ° Luces RGB ° Sonido Incorporado ° Con movimiento</t>
  </si>
  <si>
    <t>PULSERA LABUBU CON LUZ, MOVIMIENTO Y SONIDO</t>
  </si>
  <si>
    <t>H:\OneDrive\TRABAJOS\TAO Accesorios\web reina\imagenes\PULSERA_LABUBU_CON_LUZ_MOVIMIENTO_Y_SONIDO.png</t>
  </si>
  <si>
    <t>https://reinaelectronica.com.ar/producto/pulsera-labubu-con-luz-movimiento-y-sonido/</t>
  </si>
  <si>
    <t>RELOJ MACARON DE COLORES JK-4308</t>
  </si>
  <si>
    <t>H:\OneDrive\TRABAJOS\TAO Accesorios\web reina\imagenes\RELOJ_MACARON_DE_COLORES_JK4308.png</t>
  </si>
  <si>
    <t>https://reinaelectronica.com.ar/producto/reloj-macaron-de-colores-jk-4308/</t>
  </si>
  <si>
    <t>RELOJ PROYECTOR LABUBU/CAPIBARA</t>
  </si>
  <si>
    <t>H:\OneDrive\TRABAJOS\TAO Accesorios\web reina\imagenes\RELOJ_PROYECTOR_LABUBUCAPIBARA.png</t>
  </si>
  <si>
    <t>https://reinaelectronica.com.ar/producto/reloj-proyector-labubu/</t>
  </si>
  <si>
    <t>° Fabricado en plástico resistente, el reloj cuenta con un divertido proyector que ilumina imágenes, transformando cualquier espacio en un mundo lleno de fantasías ° Su diseño colorido y amigable lo convierte en un objeto perfecto para que los niños se sientan parte de sus historias preferidas. ° Con un enfoque en la seguridad y la diversión, cumple con los estándares de calidad, lo que lo convierte en una elección confiable para los padres ° Este juguete no solo enseña el sentido del tiempo, sino que también fomenta la creatividad y el juego activo, ofreciendo a los niños horas de entretenimiento</t>
  </si>
  <si>
    <t>SET DE BOXEO</t>
  </si>
  <si>
    <t>H:\OneDrive\TRABAJOS\TAO Accesorios\web reina\imagenes\SET_DE_BOXEO.png</t>
  </si>
  <si>
    <t>https://reinaelectronica.com.ar/producto/set-de-boxeo/</t>
  </si>
  <si>
    <t>•Con conexión bluetooth •Elegí tu música favorita •Luz y voz interactiva •Hasta 8 velocidades  •Incluye •Guantes •Cable USB •Velcro adhesivo •Manual de usuario</t>
  </si>
  <si>
    <t>TANQUE A CONTROL REMOTO CON BALAS DE HIDROGEL</t>
  </si>
  <si>
    <t>H:\OneDrive\TRABAJOS\TAO Accesorios\web reina\imagenes\TANQUE_A_CONTROL_REMOTO_CON_BALAS_DE_HIDROGEL.png</t>
  </si>
  <si>
    <t>https://reinaelectronica.com.ar/producto/tanque-a-control-remoto-con-balas-de-hidrogel/</t>
  </si>
  <si>
    <t>° Contiene 30.000 bombas de agua de hidrogel ° Puede disparar proyectiles que pueden cargarse abriendo la tapa de la torreta, lo que permite disparar continuamente a alta velocidad ° Los proyectiles de agua son seguros e inofensivos y no causan lesiones aunque impacten en el cuerpo. La torreta puede girar 30° y tiene un amplio alcance de disparo, lo que proporciona una excelente experiencia operativa ° Con un motor de alta potencia incorporado y tracción a las cuatro ruedas, el tanque puede alcanzar velocidades de hasta 20Km/h, facilitando la conducción sobre arena, tierra o cesped ° El tanque está equipado con luces LED que pueden emitir efectos de iluminación realistas por la noche o en entornos poco iluminados</t>
  </si>
  <si>
    <t>TANQUE CON CONTROL REMOTO RCK01 CX-100</t>
  </si>
  <si>
    <t>H:\OneDrive\TRABAJOS\TAO Accesorios\web reina\imagenes\TANQUE_CON_CONTROL_REMOTO_RCK01_CX100.png</t>
  </si>
  <si>
    <t>https://reinaelectronica.com.ar/producto/tanque-con-control-remoto-rck01-cx-100/</t>
  </si>
  <si>
    <t>PIZARRA DIGITAL 12′</t>
  </si>
  <si>
    <t>H:\OneDrive\TRABAJOS\TAO Accesorios\web reina\imagenes\PIZARRA_DIGITAL_12.jpg</t>
  </si>
  <si>
    <t>https://reinaelectronica.com.ar/producto/pizarra-digital-12/</t>
  </si>
  <si>
    <t>PIZARRA DIGITAL 9″ MULTICOLOR</t>
  </si>
  <si>
    <t>H:\OneDrive\TRABAJOS\TAO Accesorios\web reina\imagenes\PIZARRA_DIGITAL_9_MULTICOLOR.jpg</t>
  </si>
  <si>
    <t>https://reinaelectronica.com.ar/producto/pizarra-digital-9-multicolor/</t>
  </si>
  <si>
    <t>BALANCE CAR CAPIBARA WT-17</t>
  </si>
  <si>
    <t>H:\OneDrive\TRABAJOS\TAO Accesorios\web reina\imagenes\BALANCE_CAR_CAPIBARA_WT17.png</t>
  </si>
  <si>
    <t>https://reinaelectronica.com.ar/producto/balance-car-capibara-wt-17/</t>
  </si>
  <si>
    <t>BOLSO LXB-88</t>
  </si>
  <si>
    <t>H:\OneDrive\TRABAJOS\TAO Accesorios\web reina\imagenes\BOLSO_LXB88.jpg</t>
  </si>
  <si>
    <t>https://reinaelectronica.com.ar/producto/bolso-lxb-88/</t>
  </si>
  <si>
    <t>° Tela: Impermeable ° De gran capacidad ° Manija integrada para bolso o tirantes para mochila fácil de ocultar ° Con múltiples compartimientos y bolsillos internos/externos ° Correa desmontable y ajustable ° Dimensiones 45cm x 35cm x 25cm aprox ° Plegable, duradera y cómoda ° Varios colores disponibles</t>
  </si>
  <si>
    <t>MOCHILA CAPIBARA S-2688</t>
  </si>
  <si>
    <t>H:\OneDrive\TRABAJOS\TAO Accesorios\web reina\imagenes\MOCHILA_CAPIBARA_S2688.png</t>
  </si>
  <si>
    <t>https://reinaelectronica.com.ar/producto/mochila-capibara-s-2688/</t>
  </si>
  <si>
    <t>MOCHILA INFANTIL SUONO</t>
  </si>
  <si>
    <t>H:\OneDrive\TRABAJOS\TAO Accesorios\web reina\imagenes\MOCHILA_INFANTIL_SUONO.png</t>
  </si>
  <si>
    <t>https://reinaelectronica.com.ar/producto/mochila-infantil-suono/</t>
  </si>
  <si>
    <t>MOCHILA PELUCHE CAPIBARA CP-3167</t>
  </si>
  <si>
    <t>H:\OneDrive\TRABAJOS\TAO Accesorios\web reina\imagenes\MOCHILA_PELUCHE_CAPIBARA_CP3167.jpg</t>
  </si>
  <si>
    <t>https://reinaelectronica.com.ar/producto/mochila-peluche-capibara-cp-3167/</t>
  </si>
  <si>
    <t>° Tamaño 20cm x 20cm aproximadamente ° Trae 2 correas, una con peluche y la otra lisa regulable ° Fabricada con materiales veganos, esta cartera no solo es amigable con el medio ambiente, sino que también cuenta con un mecanismo antirrobo que brinda seguridad en todo momento. ° Ideal para el uso diario, es un complemento que combina diversión y practicidad, permitiendo que las niñas lleven sus pertenencias de manera segura y con estilo</t>
  </si>
  <si>
    <t>MOCHILA RUNNING PL POWER AV24668</t>
  </si>
  <si>
    <t>H:\OneDrive\TRABAJOS\TAO Accesorios\web reina\imagenes\MOCHILA_RUNNING_PL_POWER_AV24668.jpg</t>
  </si>
  <si>
    <t>https://reinaelectronica.com.ar/producto/mochila-running-pl-power-av24668/</t>
  </si>
  <si>
    <t>° Volumen: 10 litros ° Transporte cómodo: Espalda y tirantes acolchados ° Incluye reposapulgares ° Ventilación: Espalda y tirantes simples, sin sistema de ventilación ° Compartimentación: 1 bolsillo con cremallera y un compartimiento interno ° Resistencia a la abrasión</t>
  </si>
  <si>
    <t>MOCHILA SUONO WATERPROOF ACC0142</t>
  </si>
  <si>
    <t>H:\OneDrive\TRABAJOS\TAO Accesorios\web reina\imagenes\MOCHILA_SUONO_WATERPROOF_ACC0142.jpg</t>
  </si>
  <si>
    <t>https://reinaelectronica.com.ar/producto/mochila-suono-waterproof-acc0142/</t>
  </si>
  <si>
    <t>° 1 compartimiento amplio principal y bolsillo con cierre externo de gran capacidad ° Incluye porta laptop ° Bolsas laterales ° Tiras cómodas y reforzadas ° Cierres magnéticos ° Premium impermeable</t>
  </si>
  <si>
    <t>SACAPUNTAS DOBLE SHARPENER X60 UNIDADES</t>
  </si>
  <si>
    <t>H:\OneDrive\TRABAJOS\TAO Accesorios\web reina\imagenes\SACAPUNTAS_DOBLE_SHARPENER_X60_UNIDADES.jpg</t>
  </si>
  <si>
    <t>https://reinaelectronica.com.ar/producto/sacapuntas-doble-sharpener-x60-unidades/</t>
  </si>
  <si>
    <t>° Cantidad: 60 unidades ° Contiene un deposito para residuos ° Material: Plástico ° Cantidad de orificios: 2 ° Colores surtidos</t>
  </si>
  <si>
    <t>SET LAPICERA C/GLITTER X6 G013-6</t>
  </si>
  <si>
    <t>H:\OneDrive\TRABAJOS\TAO Accesorios\web reina\imagenes\SET_LAPICERA_CGLITTER_X6_G0136.jpg</t>
  </si>
  <si>
    <t>https://reinaelectronica.com.ar/producto/set-lapicera-c-glitter-x6-g013-6/</t>
  </si>
  <si>
    <t>SET LAPICERA C/GLITTER X8 G013-8</t>
  </si>
  <si>
    <t>H:\OneDrive\TRABAJOS\TAO Accesorios\web reina\imagenes\SET_LAPICERA_CGLITTER_X8_G0138.jpg</t>
  </si>
  <si>
    <t>https://reinaelectronica.com.ar/producto/set-lapicera-c-glitter-x8-g013-8/</t>
  </si>
  <si>
    <t>SET LAPICERA COLOR PASTEL X10 G014-10</t>
  </si>
  <si>
    <t>H:\OneDrive\TRABAJOS\TAO Accesorios\web reina\imagenes\SET_LAPICERA_COLOR_PASTEL_X10_G01410.jpg</t>
  </si>
  <si>
    <t>https://reinaelectronica.com.ar/producto/set-lapicera-color-pastel-x10-g014-10/</t>
  </si>
  <si>
    <t>SET LAPICERA COLOR PASTEL X6 G014-6</t>
  </si>
  <si>
    <t>H:\OneDrive\TRABAJOS\TAO Accesorios\web reina\imagenes\SET_LAPICERA_COLOR_PASTEL_X6_G0146.jpg</t>
  </si>
  <si>
    <t>https://reinaelectronica.com.ar/producto/set-lapicera-color-pastel-x6-g014-6/</t>
  </si>
  <si>
    <t>SET LAPICERA COLOR PASTEL X8 G014-8</t>
  </si>
  <si>
    <t>H:\OneDrive\TRABAJOS\TAO Accesorios\web reina\imagenes\SET_LAPICERA_COLOR_PASTEL_X8_G0148.jpg</t>
  </si>
  <si>
    <t>https://reinaelectronica.com.ar/producto/set-lapicera-color-pastel-x8-g014-8/</t>
  </si>
  <si>
    <t>SET LAPICERA NEON X6 G015-6</t>
  </si>
  <si>
    <t>H:\OneDrive\TRABAJOS\TAO Accesorios\web reina\imagenes\SET_LAPICERA_NEON_X6_G0156.jpg</t>
  </si>
  <si>
    <t>https://reinaelectronica.com.ar/producto/set-lapicera-neon-x6-g015-6/</t>
  </si>
  <si>
    <t>SET LAPICERAS C/GLITTER X10 G013-10</t>
  </si>
  <si>
    <t>H:\OneDrive\TRABAJOS\TAO Accesorios\web reina\imagenes\SET_LAPICERAS_CGLITTER_X10_G01310.jpg</t>
  </si>
  <si>
    <t>https://reinaelectronica.com.ar/producto/set-lapiceras-c-glitter-x10-g013-10/</t>
  </si>
  <si>
    <t>BANDOLERA CRUZADA ANTIRROBO P260KA</t>
  </si>
  <si>
    <t>H:\OneDrive\TRABAJOS\TAO Accesorios\web reina\imagenes\BANDOLERA_CRUZADA_ANTIRROBO_P260KA.jpg</t>
  </si>
  <si>
    <t>https://reinaelectronica.com.ar/producto/bandolera-cruzada-antirrobo-p260ka/</t>
  </si>
  <si>
    <t>CALCULADORA LEGATUS LCC-11</t>
  </si>
  <si>
    <t>H:\OneDrive\TRABAJOS\TAO Accesorios\web reina\imagenes\CALCULADORA_LEGATUS_LCC11.jpg</t>
  </si>
  <si>
    <t>https://reinaelectronica.com.ar/producto/calculadora-legatus-lcc-11/</t>
  </si>
  <si>
    <t>° Gran pantalla LCD de 12 dígitos y un ángulo de 15 grados ° Novedoso diseño, muestra claramente números grandes lo que hace que sea fácil de leer desde lejos y sin esfuerzo ° Sistema de ahorro de batería, la calculadora se apagará después de unos minutos de estar inactiva</t>
  </si>
  <si>
    <t>SET LAPICERA C/GLITTER X12 G013-12</t>
  </si>
  <si>
    <t>H:\OneDrive\TRABAJOS\TAO Accesorios\web reina\imagenes\SET_LAPICERA_CGLITTER_X12_G01312.jpg</t>
  </si>
  <si>
    <t>https://reinaelectronica.com.ar/producto/set-lapicera-c-glitter-x12-g013-12/</t>
  </si>
  <si>
    <t>GUANTES WINDS STOPPER XY AV24063</t>
  </si>
  <si>
    <t>H:\OneDrive\TRABAJOS\TAO Accesorios\catalogo maestro\imagen\GUANTES WINDS STOPPER XY AV24063.jpg</t>
  </si>
  <si>
    <t>PELUCHE MAS MANTA LABUBU</t>
  </si>
  <si>
    <t>H:\OneDrive\TRABAJOS\TAO Accesorios\web reina\imagenes\PELUCHE_MAS_MANTA_LABUBU.jpg</t>
  </si>
  <si>
    <t>https://reinaelectronica.com.ar/producto/peluche-mas-manta-labubu/</t>
  </si>
  <si>
    <t>°Tamaño Ideal: Con 60 cm de altura °Manta Suave: Incluye una manta suave que proporciona calor y confort, perfecta para días fríos o para momentos de relajación. °Materiales de Calidad: Fabricado con materiales hipoalergénicos y de alta calidad. °Diseño Atractivo: Su diseño encantador, disponible en color marrón y gris!</t>
  </si>
  <si>
    <t>DISPENSADOR DE AGUA PARA MASCOTAS</t>
  </si>
  <si>
    <t>H:\OneDrive\TRABAJOS\TAO Accesorios\web reina\imagenes\DISPENSADOR_DE_AGUA_PARA_MASCOTAS.png</t>
  </si>
  <si>
    <t>https://reinaelectronica.com.ar/producto/dispensador-de-agua-para-mascotas/</t>
  </si>
  <si>
    <t>MOCHILA PARA MASCOTAS NEGRA ACRILICA</t>
  </si>
  <si>
    <t>H:\OneDrive\TRABAJOS\TAO Accesorios\web reina\imagenes\MOCHILA_PARA_MASCOTAS_NEGRA_ACRILICA.png</t>
  </si>
  <si>
    <t>https://reinaelectronica.com.ar/producto/mochila-para-mascotas-negra-acrilica/</t>
  </si>
  <si>
    <t>MOCHILA TRANSPORTADORA DE MASCOTAS HELLO CAT</t>
  </si>
  <si>
    <t>H:\OneDrive\TRABAJOS\TAO Accesorios\web reina\imagenes\MOCHILA_TRANSPORTADORA_DE_MASCOTAS_HELLO_CAT.png</t>
  </si>
  <si>
    <t>https://reinaelectronica.com.ar/producto/mochila-transportadora-de-mascotas-hello-cat/</t>
  </si>
  <si>
    <t>CEPILLO MODELADOR 3 EN 1</t>
  </si>
  <si>
    <t>H:\OneDrive\TRABAJOS\TAO Accesorios\catalogo maestro\imagen\CEPILLO MODELADOR 3 EN 1.jpg</t>
  </si>
  <si>
    <t>CABINA DE UÑAS 36LED 120W LEGATUS LSU102</t>
  </si>
  <si>
    <t>H:\OneDrive\TRABAJOS\TAO Accesorios\web reina\imagenes\CABINA_DE_UÑAS_36LED_120W_LEGATUS_LSU102.png</t>
  </si>
  <si>
    <t>https://reinaelectronica.com.ar/producto/cabina-de-unas-36led-120w-legatus-lsu102/</t>
  </si>
  <si>
    <t>° Potencia máxima de 120W ° Tiempo 10/30/60/99s ° 36 luces LED/UV ° Pantalla LCD con indicador digital de tiempo ° Sensor inteligente con encendido y apagado automático ° Disponible en color rosa y blanco</t>
  </si>
  <si>
    <t>CEPILLO 4 EN 1 ORYX WT-601</t>
  </si>
  <si>
    <t>H:\OneDrive\TRABAJOS\TAO Accesorios\web reina\imagenes\CEPILLO_4_EN_1_ORYX_WT601.jpg</t>
  </si>
  <si>
    <t>https://reinaelectronica.com.ar/producto/cepillo-4-en-1-oryx-wt-601/</t>
  </si>
  <si>
    <t>° Color: negro ° Material: ABS ° Tamaño: aproximadamente 36,00 x 4,50 x 4,50 cm/14,15 x 1,77 x 1,77 pulgadas. ° Incluye cuatro peines de peluquería para satisfacer tus diferentes necesidades de peluquería.</t>
  </si>
  <si>
    <t>CEPILLO HOT AIR 5 EN 1 YX-818/ OR-1211</t>
  </si>
  <si>
    <t>H:\OneDrive\TRABAJOS\TAO Accesorios\web reina\imagenes\CEPILLO_HOT_AIR_5_EN_1_YX818_OR1211.jpg</t>
  </si>
  <si>
    <t>https://reinaelectronica.com.ar/producto/cepillo-hot-air-5-en-1-yx-818-or-1211/</t>
  </si>
  <si>
    <t>° Tecnología avanzada de iones negativos y revestimiento cerámico para evitar el encrespamiento ° 3 temperaturas regulables ° Voltaje 220V ° Longitud de cable 2m ° Incluye Cepillo recto Cepillo brushing Buclera Pre moldeado Secador</t>
  </si>
  <si>
    <t>CORTA PELO DALING 3 EN 1 DL-9056</t>
  </si>
  <si>
    <t>H:\OneDrive\TRABAJOS\TAO Accesorios\web reina\imagenes\CORTA_PELO_DALING_3_EN_1_DL9056.png</t>
  </si>
  <si>
    <t>https://reinaelectronica.com.ar/producto/corta-pelo-daling-3-en-1-dl-9056/</t>
  </si>
  <si>
    <t>CORTA PELO DALING CAJA GRIS DL-1169</t>
  </si>
  <si>
    <t>H:\OneDrive\TRABAJOS\TAO Accesorios\web reina\imagenes\CORTA_PELO_DALING_CAJA_GRIS_DL1169.jpg</t>
  </si>
  <si>
    <t>https://reinaelectronica.com.ar/producto/corta-pelo-daling-caja-gris-dl-1169/</t>
  </si>
  <si>
    <t>° Corte rápido y preciso ° Pantalla digital LED ° Motor más potente de 5W ° Hoja de acero inoxidable ° 180 minutos de funcionamiento inalámbrico</t>
  </si>
  <si>
    <t>CORTA PELO DALING MASTER DL-1167</t>
  </si>
  <si>
    <t>H:\OneDrive\TRABAJOS\TAO Accesorios\web reina\imagenes\CORTA_PELO_DALING_MASTER_DL1167.jpg</t>
  </si>
  <si>
    <t>https://reinaelectronica.com.ar/producto/corta-pelo-daling-master-dl-1167/</t>
  </si>
  <si>
    <t>°RECORTADORA de Pelo, Barba, Bigote, Afeitadora. °INCLUYE: 6 Peines (3mm-6mm-10mm-13mm-16mm-19mm), Cepillo Limpiador, Aceite Lubricante, peine °Pantalla / Display Led Indicadora de Carga. °Potencia: 5w. °Voltaje: 5v – 1A. °Tiempo de Carga: 4 a 6hs. °Medidas: 19cm (largo) x 4.5cm (ancho cuchilla) °Botón de Encendido / Apagado Lateral.</t>
  </si>
  <si>
    <t>CORTA PELO LEGATUS LP005A</t>
  </si>
  <si>
    <t>H:\OneDrive\TRABAJOS\TAO Accesorios\web reina\imagenes\CORTA_PELO_LEGATUS_LP005A.png</t>
  </si>
  <si>
    <t>https://reinaelectronica.com.ar/producto/corta-pelo-legatus-lp005a/</t>
  </si>
  <si>
    <t>CORTA PELO ORYX DL-1509/1519/1520</t>
  </si>
  <si>
    <t>H:\OneDrive\TRABAJOS\TAO Accesorios\web reina\imagenes\CORTA_PELO_ORYX_DL150915191520.jpg</t>
  </si>
  <si>
    <t>https://reinaelectronica.com.ar/producto/corta-pelo-oryx-dl-1509-1519-1520/</t>
  </si>
  <si>
    <t>•Eficacia y confort para la piel •Captura hasta el 90% de vello recortado •Con rueda de precisión para controlar la longitud del afeitado y/o corte de cabello •Batería recargable •Apta para afeitado en seco y húmedo •90 minutos de potencia continua con una sola carga  •Incluye: Peine intercambiable Aceite lubricante Manual de usuario Cable USB Cepillo de limpieza</t>
  </si>
  <si>
    <t>CORTA PELO T10 VACUUM TRIMER</t>
  </si>
  <si>
    <t>H:\OneDrive\TRABAJOS\TAO Accesorios\web reina\imagenes\CORTA_PELO_T10_VACUUM_TRIMER.png</t>
  </si>
  <si>
    <t>https://reinaelectronica.com.ar/producto/corta-pelo-t10-vacuum-trimer/</t>
  </si>
  <si>
    <t>•Captura hasta el 90% de vello recortado •Con rueda de precisión para controlar la longitud del afeitado y/o corte de cabello •Batería recargable •Clasificación IPX6 apta para afeitado en seco y húmedo •Incluye: •Peines intercambiables •Aceite lubricante •Manual de usuario •Cable USB •Cepillo de limpieza</t>
  </si>
  <si>
    <t>CORTA PELO VINTAGE BUDA/DRAGON DL1517/1517</t>
  </si>
  <si>
    <t>H:\OneDrive\TRABAJOS\TAO Accesorios\web reina\imagenes\CORTA_PELO_VINTAGE_BUDADRAGON_DL15171517.jpg</t>
  </si>
  <si>
    <t>https://reinaelectronica.com.ar/producto/corta-pelo-vintage-buda-dragon-dl1517-1517/</t>
  </si>
  <si>
    <t>°Modelo disponible buda y dragon °Potencia: 5W °Voltaje: 3V °Batería recargable de li-ion 18500 de gran capacidad: 1200mAh (incluye cable ) °Tiempo de carga: 3 horas °Tiempo de uso por carga: 1 horas °La cuchillas posee cabeza redondeada, y pequeños dientes que corta a 0.8mm °Posee unas cuchillas tan finas que pueden usarse hasta en las pieles mas delicadas, °Incluye 4 Peine intercambiables de: 1.5/2/3/4</t>
  </si>
  <si>
    <t>CORTA PELO VINTAGE T9 PLASTIC DL-1503AB1</t>
  </si>
  <si>
    <t>H:\OneDrive\TRABAJOS\TAO Accesorios\web reina\imagenes\CORTA_PELO_VINTAGE_T9_PLASTIC_DL1503AB1.jpg</t>
  </si>
  <si>
    <t>https://reinaelectronica.com.ar/producto/corta-pelo-vintage-t9-plastic-dl-1503ab1/</t>
  </si>
  <si>
    <t>° Material: Plastico ° Gran potencia de 5W ° Funciones adicionales: Afeitadora de barba, bigote y patillas ° Batería recargable ° Autonomía hasta 2hs ° Práctica para llevarla a todos tus viajes ° Incluye accesorios de limpieza, cabezales intercambiables, aceite lubricante y manual de usuario</t>
  </si>
  <si>
    <t>CORTADORA DE PELO PERRO ORYX CP1030/1024</t>
  </si>
  <si>
    <t>H:\OneDrive\TRABAJOS\TAO Accesorios\web reina\imagenes\CORTADORA_DE_PELO_PERRO_ORYX_CP10301024.jpg</t>
  </si>
  <si>
    <t>https://reinaelectronica.com.ar/producto/cortadora-de-pelo-perro-oryx-cp1030-1024/</t>
  </si>
  <si>
    <t>° Potencia de 10w ° Largo del cable 1.7 metros ° Sistema de corte por vibrador para lograr un mejor resultado del trabajo º Accesorios: 4 Peines 3 mm, 6 mm,9mm, 12mm Corta uñas,lima de uñas, tijera, peine, lubricante para maquina y cepillo</t>
  </si>
  <si>
    <t>DEPILADORA 4 EN 1 DL-6043</t>
  </si>
  <si>
    <t>H:\OneDrive\TRABAJOS\TAO Accesorios\web reina\imagenes\DEPILADORA_4_EN_1_DL6043.png</t>
  </si>
  <si>
    <t>https://reinaelectronica.com.ar/producto/depiladora-4-en-1-dl-6043/</t>
  </si>
  <si>
    <t>ESPEJO DE MAQUILLAJE CON LUZ LED SUONO</t>
  </si>
  <si>
    <t>H:\OneDrive\TRABAJOS\TAO Accesorios\web reina\imagenes\ESPEJO_DE_MAQUILLAJE_CON_LUZ_LED_SUONO.png</t>
  </si>
  <si>
    <t>https://reinaelectronica.com.ar/producto/espejo-de-maquillaje-con-luz-led-suono/</t>
  </si>
  <si>
    <t>° 3 paneles que aportan una visión total de tu rostro para un maquillaje impecable ° Pantalla táctil ° Base alhajero ° Rotación ajustable 180° ° Con aumento x2 y x3 ° Recargable USB ° Cantidad de leds: 22 ° Bajo consumo de energía</t>
  </si>
  <si>
    <t>LIMPIADOR ELÉCTRICO DE BROCHAS</t>
  </si>
  <si>
    <t>H:\OneDrive\TRABAJOS\TAO Accesorios\web reina\imagenes\LIMPIADOR_ELÉCTRICO_DE_BROCHAS.png</t>
  </si>
  <si>
    <t>https://reinaelectronica.com.ar/producto/limpiador-electrico-de-brochas/</t>
  </si>
  <si>
    <t>MASAJEADOR CERVICAL C/DEDO SUONO ELB0018</t>
  </si>
  <si>
    <t>H:\OneDrive\TRABAJOS\TAO Accesorios\web reina\imagenes\MASAJEADOR_CERVICAL_CDEDO_SUONO_ELB0018.png</t>
  </si>
  <si>
    <t>https://reinaelectronica.com.ar/producto/masajeador-cervical-c-dedo-suono-elb0018/</t>
  </si>
  <si>
    <t>•Su diseño ergonómico y portátil te permite llevarlo donde quieras y usarlo cómodamente •Útil para distintas partes del cuerpo •Calentador integrado •6 cabezales ajustables •Acabado automático •Correa para manos libres •Batería de 1800 mAh que proporciona hasta 3 horas de uso •Múltiples velocidades y modos para adaptarse a tus necesidades de relajación</t>
  </si>
  <si>
    <t>MASAJEADOR CERVICAL ORYX MJ-0225</t>
  </si>
  <si>
    <t>H:\OneDrive\TRABAJOS\TAO Accesorios\web reina\imagenes\MASAJEADOR_CERVICAL_ORYX_MJ0225.png</t>
  </si>
  <si>
    <t>https://reinaelectronica.com.ar/producto/masajeador-cervical-oryx-mj-0225/</t>
  </si>
  <si>
    <t>MASAJEADOR CERVICAL ORYX MJ-0229</t>
  </si>
  <si>
    <t>H:\OneDrive\TRABAJOS\TAO Accesorios\web reina\imagenes\MASAJEADOR_CERVICAL_ORYX_MJ0229.png</t>
  </si>
  <si>
    <t>https://reinaelectronica.com.ar/producto/masajeador-cervical-oryx-mj-0229/</t>
  </si>
  <si>
    <t>•Práctico y portable •3 modos •Potencia 24W •Tela antitranspirante •Masaje bidireccional •8 Cabezas de masaje tipo Shiatsu •Con sistema de calor on/off y regulador de intensidad •Apagado automático</t>
  </si>
  <si>
    <t>MASAJEADOR VIBRADOR MIMO 3 BRAZOS</t>
  </si>
  <si>
    <t>H:\OneDrive\TRABAJOS\TAO Accesorios\web reina\imagenes\MASAJEADOR_VIBRADOR_MIMO_3_BRAZOS.jpg</t>
  </si>
  <si>
    <t>https://reinaelectronica.com.ar/producto/masajeador-vibrador-mimo-3-brazos/</t>
  </si>
  <si>
    <t>°Nuevo y de alta calidad. °Portable y peso ligero, fácil de llevar. °Utiliza vibración para masajes. °Promueve la circulación sanguínea. °Alivia el dolor muscular y mejora el dolor crónico. °Diseño patentado, seguro y confiable. °Consumo de energía bajo (2w). °Tamaño compacto: 9,8 x 8,8 x 9 cm. °Material duradero ABS. °Funciona con 3 pilas AAA de 4.5V y a través de conexión eléctrica</t>
  </si>
  <si>
    <t>ORGANIZADOR DE BAÑO</t>
  </si>
  <si>
    <t>H:\OneDrive\TRABAJOS\TAO Accesorios\web reina\imagenes\ORGANIZADOR_DE_BAÑO.png</t>
  </si>
  <si>
    <t>https://reinaelectronica.com.ar/producto/organizador-de-bano-2/</t>
  </si>
  <si>
    <t>ORGANIZADOR DE COSMETICOS</t>
  </si>
  <si>
    <t>H:\OneDrive\TRABAJOS\TAO Accesorios\web reina\imagenes\ORGANIZADOR_DE_COSMETICOS.png</t>
  </si>
  <si>
    <t>https://reinaelectronica.com.ar/producto/organizador-de-cosmeticos/</t>
  </si>
  <si>
    <t>• Acrílico transparente alta calidad. • Base Inferior 6 cajones. • Base superior 16 compartimentos. • Los cajones posee paños para no rayar interiores. • Tocador y maquillaje super organizado.</t>
  </si>
  <si>
    <t>PISTOLA DE MASAJE CON MANGO EXTENSIBLE SEIS AV5256</t>
  </si>
  <si>
    <t>H:\OneDrive\TRABAJOS\TAO Accesorios\web reina\imagenes\PISTOLA_DE_MASAJE_CON_MANGO_EXTENSIBLE_SEIS_AV5256.png</t>
  </si>
  <si>
    <t>https://reinaelectronica.com.ar/producto/pistola-de-masaje-con-mango-extensible-seis-av5256/</t>
  </si>
  <si>
    <t>Pistola de masaje de tejido profundo con mango extendido, masajeador de espalda para aliviar el dolor de tejido profundo con pantalla LCD, masajeador de cuello/cintura/piernas/hombro con 4 cabezales de masaje, 3 modos y 6 niveles de intensidad. Cómoda extensión del mango y diseño ergonómico.</t>
  </si>
  <si>
    <t>PLANCHITA BUCLERA PARA PELO ORYX</t>
  </si>
  <si>
    <t>H:\OneDrive\TRABAJOS\TAO Accesorios\web reina\imagenes\PLANCHITA_BUCLERA_PARA_PELO_ORYX.jpg</t>
  </si>
  <si>
    <t>https://reinaelectronica.com.ar/producto/planchita-buclera-para-pelo-oryx/</t>
  </si>
  <si>
    <t>° Material: ABS+Metal ° Display LCD ° Potencia: 45W ° 7 niveles de temperatura ° 5 opciones de temporizador ° Rango de temperatura: 150, 160, 170, 180, 190, 200, 210 grados</t>
  </si>
  <si>
    <t>PLANCHITA DE PELO DL-5205</t>
  </si>
  <si>
    <t>H:\OneDrive\TRABAJOS\TAO Accesorios\web reina\imagenes\PLANCHITA_DE_PELO_DL5205.png</t>
  </si>
  <si>
    <t>https://reinaelectronica.com.ar/producto/planchita-de-pelo-dl-5205/</t>
  </si>
  <si>
    <t>PLANCHITA P/PELO ORYX RECARGABLE ORCPP01</t>
  </si>
  <si>
    <t>H:\OneDrive\TRABAJOS\TAO Accesorios\web reina\imagenes\PLANCHITA_PPELO_ORYX_RECARGABLE_ORCPP01.jpg</t>
  </si>
  <si>
    <t>https://reinaelectronica.com.ar/producto/planchita-p-pelo-oryx-recargable-orcpp01/</t>
  </si>
  <si>
    <t>° Display led ° Indicador de carga, batería y temperatura ° Potencia 25W ° 4 niveles: 140° – 160° – 180° – 200° C ° Rápido Calentamiento ° Liviana y maniobrable ° Batería de litio 2600mAh ° USB – C (Puede enchufar en el auto o en una PC) ° Traba de seguridad</t>
  </si>
  <si>
    <t>PLANCHITA Y SECADOR ORYX 8948</t>
  </si>
  <si>
    <t>H:\OneDrive\TRABAJOS\TAO Accesorios\web reina\imagenes\PLANCHITA_Y_SECADOR_ORYX_8948.jpg</t>
  </si>
  <si>
    <t>https://reinaelectronica.com.ar/producto/planchita-y-secador-oryx-8948/</t>
  </si>
  <si>
    <t>° Secador de Pelo: Equipado con una potencia de 2200W, que garantiza un secado rápido y eficiente, además de contar con múltiples temperaturas y velocidades para adaptarse a tu tipo de cabello. ° Plancha de Pelo: Con placas de cerámica de alta calidad que distribuyen el calor de manera uniforme, evitando daños y logrando un alisado perfecto en una sola pasada. ° Diseño Ergonómico: Ambos dispositivos están diseñados para un uso cómodo, con un acabado elegante y moderno que se adapta a cualquier estilo..</t>
  </si>
  <si>
    <t>SECADOR DE PELO LEGATUS LSE100A</t>
  </si>
  <si>
    <t>H:\OneDrive\TRABAJOS\TAO Accesorios\web reina\imagenes\SECADOR_DE_PELO_LEGATUS_LSE100A.png</t>
  </si>
  <si>
    <t>https://reinaelectronica.com.ar/producto/secador-de-pelo-legatus-lse100a/</t>
  </si>
  <si>
    <t>•Con 2 ajustes de temperatura •Mango plegable •Incluye boquilla de conducción •Motor de larga vida •Con orificio para colgar</t>
  </si>
  <si>
    <t>SECADOR DE PELO LSE-101A 600W LEGATUS</t>
  </si>
  <si>
    <t>H:\OneDrive\TRABAJOS\TAO Accesorios\web reina\imagenes\SECADOR_DE_PELO_LSE101A_600W_LEGATUS.png</t>
  </si>
  <si>
    <t>https://reinaelectronica.com.ar/producto/secador-de-pelo-lse-101a-600w-legatus/</t>
  </si>
  <si>
    <t>SECADOR DE PELO LSE-122A 1200W LEGATUS</t>
  </si>
  <si>
    <t>H:\OneDrive\TRABAJOS\TAO Accesorios\web reina\imagenes\SECADOR_DE_PELO_LSE122A_1200W_LEGATUS.png</t>
  </si>
  <si>
    <t>https://reinaelectronica.com.ar/producto/secador-de-pelo-lse-122a-1200w-legatus/</t>
  </si>
  <si>
    <t>SECADOR DE PELO ORYX OR-1651 1600W</t>
  </si>
  <si>
    <t>H:\OneDrive\TRABAJOS\TAO Accesorios\web reina\imagenes\SECADOR_DE_PELO_ORYX_OR1651_1600W.png</t>
  </si>
  <si>
    <t>https://reinaelectronica.com.ar/producto/secador-de-pelo-oryx-or-1651-1600w/</t>
  </si>
  <si>
    <t>° Potente motor de 1600W ° Regula de forma precisa la temperatura ° Cuenta con 3 velocidades adaptables: Rápido, Medio y Mínimo, mejorando los resultados de las diversas temperaturas según el tipo de peinado ° Diseño ergonómico moderno que brinda cómodo agarre ° Incluye 5 boquillas intercambiables: 1 concentrador, 1 alisador, 1 suavizador, 1 rizador y 1 difusor</t>
  </si>
  <si>
    <t>SECADOR DE PELO ORYX OR-7015P 1400W</t>
  </si>
  <si>
    <t>H:\OneDrive\TRABAJOS\TAO Accesorios\web reina\imagenes\SECADOR_DE_PELO_ORYX_OR7015P_1400W.jpg</t>
  </si>
  <si>
    <t>https://reinaelectronica.com.ar/producto/secador-de-pelo-oryx-or-7015p-1400w/</t>
  </si>
  <si>
    <t>° Potente motor de 1400W ° Regula de forma precisa la temperatura ° Cuenta con 3 velocidades adaptables: Rápido, Medio y Mínimo, mejorando los resultados de las diversas temperaturas según el tipo de peinado ° Diseño ergonómico moderno que brinda cómodo agarre ° Incluye boquilla de concentración y soporte para pared</t>
  </si>
  <si>
    <t>SECADOR DE PELO SEIS SP 34 2400W</t>
  </si>
  <si>
    <t>H:\OneDrive\TRABAJOS\TAO Accesorios\web reina\imagenes\SECADOR_DE_PELO_SEIS_SP_34_2400W.png</t>
  </si>
  <si>
    <t>https://reinaelectronica.com.ar/producto/secador-de-pelo-seis-sp-34-2400w/</t>
  </si>
  <si>
    <t>° Este secador reduce el frizz y mejora la suavidad del cabello, dejándolo brillante y manejable ° Además, cuenta con 2 niveles de velocidad y la opción de 4 temperaturas incluyendo aire frío, lo que te permite personalizar tu experiencia de secado según tus necesidades ° Cable 3,3m altamente resistente ° Incluye 2 boquillas de conducción y 2 peines asegurando un peinado preciso y controlado</t>
  </si>
  <si>
    <t>TIRA DE FOCOS PARA ESPEJO VANITY MIRROR</t>
  </si>
  <si>
    <t>H:\OneDrive\TRABAJOS\TAO Accesorios\web reina\imagenes\TIRA_DE_FOCOS_PARA_ESPEJO_VANITY_MIRROR.png</t>
  </si>
  <si>
    <t>https://reinaelectronica.com.ar/producto/tira-de-focos-para-espejo-vanity-mirror/</t>
  </si>
  <si>
    <t>TORNO ELECTRICO LAMBO A-11703</t>
  </si>
  <si>
    <t>H:\OneDrive\TRABAJOS\TAO Accesorios\web reina\imagenes\TORNO_ELECTRICO_LAMBO_A11703.png</t>
  </si>
  <si>
    <t>https://reinaelectronica.com.ar/producto/torno-electrico-lambo-a-11703/</t>
  </si>
  <si>
    <t>CORTA PELO VINTAGE T9 TRIMMER DL-1503AB2</t>
  </si>
  <si>
    <t>H:\OneDrive\TRABAJOS\TAO Accesorios\web reina\imagenes\CORTA_PELO_VINTAGE_T9_TRIMMER_DL1503AB2.jpg</t>
  </si>
  <si>
    <t>https://reinaelectronica.com.ar/producto/corta-pelo-vintage-t9-trimmer-dl-1503ab2/</t>
  </si>
  <si>
    <t>° Material: Metal ° Gran potencia de 5W ° Funciones adicionales: Afeitadora de barba, bigote y patillas ° Batería recargable ° Autonomía hasta 2hs ° Práctica para llevarla a todos tus viajes ° Incluye accesorios de limpieza, cabezales intercambiables, aceite lubricante y manual de usuario</t>
  </si>
  <si>
    <t>PLANCHITA P/PELO OSR 199 40W</t>
  </si>
  <si>
    <t>H:\OneDrive\TRABAJOS\TAO Accesorios\web reina\imagenes\PLANCHITA_PPELO_OSR_199_40W.jpg</t>
  </si>
  <si>
    <t>https://reinaelectronica.com.ar/producto/planchita-p-pelo-osr-199-40w/</t>
  </si>
  <si>
    <t>° Diseño moderno y portátil ° Placas de tourmaline ° Regulador de temperatura ° Calentamiento rápido ° Cable giratorio ° Varios colores disponibles</t>
  </si>
  <si>
    <t>SACA PELUSA</t>
  </si>
  <si>
    <t>H:\OneDrive\TRABAJOS\TAO Accesorios\web reina\imagenes\SACA_PELUSA.png</t>
  </si>
  <si>
    <t>https://reinaelectronica.com.ar/producto/saca-pelusa/</t>
  </si>
  <si>
    <t>SECADOR DE PELO SEIS SP26/SP27 2000W</t>
  </si>
  <si>
    <t>H:\OneDrive\TRABAJOS\TAO Accesorios\web reina\imagenes\SECADOR_DE_PELO_SEIS_SP26SP27_2000W.png</t>
  </si>
  <si>
    <t>https://reinaelectronica.com.ar/producto/secador-de-pelo-seis-sp26-sp27-2000w/</t>
  </si>
  <si>
    <t>•Tecnología Nano Titanium •Cuerpo delantero anti calentamiento •Con sensor de temperatura •Potente motor sin carbones de larga duración</t>
  </si>
  <si>
    <t>PLANCHITA P/PELO PRO NANO TITANIUM S1134</t>
  </si>
  <si>
    <t>H:\OneDrive\TRABAJOS\TAO Accesorios\web reina\imagenes\PLANCHITA_PPELO_PRO_NANO_TITANIUM_S1134.jpg</t>
  </si>
  <si>
    <t>https://reinaelectronica.com.ar/producto/planchita-p-pelo-pro-nano-titanium-s1134/</t>
  </si>
  <si>
    <t>DELANTAL DE COCINA TELA TRUCKER</t>
  </si>
  <si>
    <t>H:\OneDrive\TRABAJOS\TAO Accesorios\catalogo maestro\imagen\DELANTAL DE COCINA TELA TRUCKER.jpg</t>
  </si>
  <si>
    <t>ANAFE DOBLE LEGATUS 2000W LAE203</t>
  </si>
  <si>
    <t>H:\OneDrive\TRABAJOS\TAO Accesorios\web reina\imagenes\ANAFE_DOBLE_LEGATUS_2000W_LAE203.png</t>
  </si>
  <si>
    <t>https://reinaelectronica.com.ar/producto/anafe-doble-legatus-2000w-lae203/</t>
  </si>
  <si>
    <t>ANAFE DOBLE ORYX HPS 203</t>
  </si>
  <si>
    <t>H:\OneDrive\TRABAJOS\TAO Accesorios\web reina\imagenes\ANAFE_DOBLE_ORYX_HPS_203.jpg</t>
  </si>
  <si>
    <t>https://reinaelectronica.com.ar/producto/anafe-doble-oryx-hps-203/</t>
  </si>
  <si>
    <t>Voltaje 220V ° Potencia 2000W para cocinar rápido y eficiente ° Encendido automático y control de perillas para facilidad de uso ° Dos hornallas para preparar varios platos a la vez ° Función de calentamiento rápido para comidas listas en menos tiempo ° 5 Niveles de potencia para adaptarse a tus necesidades culinarias ° Con indicadores luminosos</t>
  </si>
  <si>
    <t>ASPIARADORA DE MANO Y VERTICAL ORYX</t>
  </si>
  <si>
    <t>H:\OneDrive\TRABAJOS\TAO Accesorios\web reina\imagenes\ASPIARADORA_DE_MANO_Y_VERTICAL_ORYX.png</t>
  </si>
  <si>
    <t>https://reinaelectronica.com.ar/producto/aspiaradora-de-mano-y-vertical-oryx/</t>
  </si>
  <si>
    <t>°Voltaje: 220-240V ~ 50-60Hz °Capacidad del depósito de polvo: 1.2 litros °Filtro: HEPA lavable °Accesorios: 10 boquillas multifuncionales °Función adicional: Mopa húmeda con tanque de agua y opción para agregar desinfectante °Cepillo: De rotación flexible °Cable de alimentación: 5 metros de longitud °Modo de limpieza: Aspirado seco y húmedo (aspira y friega al mismo tiempo) °Sistema de limpieza: Fácil desmontaje para vaciar el contenedor y limpiar el filtro °23.000 RPM °Aspira líquidos</t>
  </si>
  <si>
    <t>BALANZA DE BAÑO BLUETOOTH 180KG SEIS</t>
  </si>
  <si>
    <t>H:\OneDrive\TRABAJOS\TAO Accesorios\web reina\imagenes\BALANZA_DE_BAÑO_BLUETOOTH_180KG_SEIS.jpg</t>
  </si>
  <si>
    <t>https://reinaelectronica.com.ar/producto/balanza-de-bano-bluetooth-180kg-seis/</t>
  </si>
  <si>
    <t>° Pantalla LCD con iluminación azul ° Medidas: 26cm x 26cm x 23mm ° Confeccionada en vidrio templado ° Cuenta con conexión Bluetooth para garantizar un mejor análisis ° Medición de peso, grasa, frecuencia, IMC, humedad, proteínas, calorías, etc. ° Encendido automático ° Peso máximo 180kg ° Tipo de alimentación 2 pilas AAA (No incluídas) ° Disponible en color rosa, blanco y negro</t>
  </si>
  <si>
    <t>BATIDORA CON BOWL OR-BM200CB</t>
  </si>
  <si>
    <t>H:\OneDrive\TRABAJOS\TAO Accesorios\web reina\imagenes\BATIDORA_CON_BOWL_ORBM200CB.png</t>
  </si>
  <si>
    <t>https://reinaelectronica.com.ar/producto/batidora-con-bowl-or-bm200cb/</t>
  </si>
  <si>
    <t>BATIDORA DE MANO ORYX 200W</t>
  </si>
  <si>
    <t>H:\OneDrive\TRABAJOS\TAO Accesorios\web reina\imagenes\BATIDORA_DE_MANO_ORYX_200W.png</t>
  </si>
  <si>
    <t>https://reinaelectronica.com.ar/producto/batidora-de-mano-oryx-200w/</t>
  </si>
  <si>
    <t>CAFETERA COFFEE MAKER VINTAGE 1,5L SUONO</t>
  </si>
  <si>
    <t>H:\OneDrive\TRABAJOS\TAO Accesorios\web reina\imagenes\CAFETERA_COFFEE_MAKER_VINTAGE_15L_SUONO.png</t>
  </si>
  <si>
    <t>https://reinaelectronica.com.ar/producto/cafetera-coffee-maker-vintage-15l-suono/</t>
  </si>
  <si>
    <t>CAFETERA ELECTRICA OR-12 1.2L</t>
  </si>
  <si>
    <t>H:\OneDrive\TRABAJOS\TAO Accesorios\web reina\imagenes\CAFETERA_ELECTRICA_OR12_12L.jpg</t>
  </si>
  <si>
    <t>https://reinaelectronica.com.ar/producto/cafetera-electrica-or-12-1-2l/</t>
  </si>
  <si>
    <t>°Capacidad 1.2L °Para un mayor funcionamiento no utilizar café demasiado molido. °Luz indicadora de uso que te avisa cuando está en funcionamiento. °Materiales: estructura de plástico y jarra de vidrio resistente. °Sistema antigoteo que evita derrames y mantiene la zona de café limpia. °Potencia de 900W que te asegura una preparación eficiente en cada taza. °Filtro removible para una fácil limpieza.</t>
  </si>
  <si>
    <t>CAFETERA ESPRESSO VINTAGE ORYX 1,2L</t>
  </si>
  <si>
    <t>H:\OneDrive\TRABAJOS\TAO Accesorios\web reina\imagenes\CAFETERA_ESPRESSO_VINTAGE_ORYX_12L.png</t>
  </si>
  <si>
    <t>https://reinaelectronica.com.ar/producto/cafetera-espresso-vintage-oryx-12l/</t>
  </si>
  <si>
    <t>° Potencia 1050W ° Para café molido y con adaptador para cápsulas + espumador de leche incorporado que te permite preparar cappuccinos y lattes con una espuma suave y cremosa, perfecta para darle ese toque especial a cada taza ° Bomba de presión 20 bar ° Capacidad 1.2L ° Bandeja superior calienta tazas ° Bandeja antigoteo extraíble ° Visor de temperatura</t>
  </si>
  <si>
    <t>CAFETERA ORYX 12 POCILLOS OR-13</t>
  </si>
  <si>
    <t>H:\OneDrive\TRABAJOS\TAO Accesorios\web reina\imagenes\CAFETERA_ORYX_12_POCILLOS_OR13.png</t>
  </si>
  <si>
    <t>https://reinaelectronica.com.ar/producto/cafetera-oryx-12-pocillos-or-13/</t>
  </si>
  <si>
    <t>Potencia: 900 W Capacidad: 1.2 litros (equivalente a aproximadamente 12 tazas de café) Material: Plástico de alta calidad y jarra de vidrio Sistema de antigoteo: Sí, para evitar derrames durante el servici Filtro: Permanente, lo que elimina la necesidad de filtros desechables Luz indicadora: Sí, para mostrar el estado de funcionamiento Diseño: Moderno y elegante, fácil de limpiar</t>
  </si>
  <si>
    <t>CAFETERIA ORYX 6 POCILLOS KP-600</t>
  </si>
  <si>
    <t>H:\OneDrive\TRABAJOS\TAO Accesorios\web reina\imagenes\CAFETERIA_ORYX_6_POCILLOS_KP600.jpg</t>
  </si>
  <si>
    <t>https://reinaelectronica.com.ar/producto/cafeteria-oryx-6-pocillos-kp-600/</t>
  </si>
  <si>
    <t>° Cafetera italiana de aluminio ° Capacidad: 6 pocillos ° Altura: 18 cm – Profundidad: 9 cm ° Tecnología: manual ° Ahorra hasta un 40% de café ° Usa café molido</t>
  </si>
  <si>
    <t>CORTA PELO MASCOTAS LEGATUS</t>
  </si>
  <si>
    <t>H:\OneDrive\TRABAJOS\TAO Accesorios\web reina\imagenes\CORTA_PELO_MASCOTAS_LEGATUS.png</t>
  </si>
  <si>
    <t>https://reinaelectronica.com.ar/producto/corta-pelo-mascotas-legatus/</t>
  </si>
  <si>
    <t>ESCURRIDOR 2 NIVELES SUONO</t>
  </si>
  <si>
    <t>H:\OneDrive\TRABAJOS\TAO Accesorios\web reina\imagenes\ESCURRIDOR_2_NIVELES_SUONO.png</t>
  </si>
  <si>
    <t>https://reinaelectronica.com.ar/producto/escurridor-2-niveles-suono/</t>
  </si>
  <si>
    <t>EXPRIMIDOR ORYX OR-3371 1L</t>
  </si>
  <si>
    <t>H:\OneDrive\TRABAJOS\TAO Accesorios\web reina\imagenes\EXPRIMIDOR_ORYX_OR3371_1L.png</t>
  </si>
  <si>
    <t>https://reinaelectronica.com.ar/producto/exprimidor-oryx-or-3371-1l/</t>
  </si>
  <si>
    <t>•Capacidad 1L •Jarra graduada •Dos tamaños de filtro •Alimentación 220/240V •Potencia 30W •Incluye 2 tamaños de filtros •Piezas desmontables para fácil limpieza</t>
  </si>
  <si>
    <t>FABRICA DE HELADOS</t>
  </si>
  <si>
    <t>H:\OneDrive\TRABAJOS\TAO Accesorios\web reina\imagenes\FABRICA_DE_HELADOS.png</t>
  </si>
  <si>
    <t>https://reinaelectronica.com.ar/producto/fabrica-de-helados/</t>
  </si>
  <si>
    <t>FABRICA DE PASTAS ORYX</t>
  </si>
  <si>
    <t>H:\OneDrive\TRABAJOS\TAO Accesorios\web reina\imagenes\FABRICA_DE_PASTAS_ORYX.png</t>
  </si>
  <si>
    <t>https://reinaelectronica.com.ar/producto/fabrica-de-pastas-oryx/</t>
  </si>
  <si>
    <t>FREIDORA DE AIRE 3.2 LITROS ORYX OR-939A-1</t>
  </si>
  <si>
    <t>H:\OneDrive\TRABAJOS\TAO Accesorios\web reina\imagenes\FREIDORA_DE_AIRE_32_LITROS_ORYX_OR939A1.png</t>
  </si>
  <si>
    <t>https://reinaelectronica.com.ar/producto/freidora-de-aire-3-2-litros-oryx-or-939a-1/</t>
  </si>
  <si>
    <t>FREIDORA DE AIRE WESTINGHOUSE WHAF405</t>
  </si>
  <si>
    <t>H:\OneDrive\TRABAJOS\TAO Accesorios\web reina\imagenes\FREIDORA_DE_AIRE_WESTINGHOUSE_WHAF405.jpg</t>
  </si>
  <si>
    <t>https://reinaelectronica.com.ar/producto/freidora-de-aire-westinghouse-whaf405/</t>
  </si>
  <si>
    <t>GRIFERIA DE COCINA EXTENSIBLE MONOCOMANDO</t>
  </si>
  <si>
    <t>H:\OneDrive\TRABAJOS\TAO Accesorios\web reina\imagenes\GRIFERIA_DE_COCINA_EXTENSIBLE_MONOCOMANDO.png</t>
  </si>
  <si>
    <t>https://reinaelectronica.com.ar/producto/griferia-de-cocina-extensible-monocomando/</t>
  </si>
  <si>
    <t>° Cuello extensible acabado mate ° Agua fría y caliente ° Aireador espumante ° Repuestos universales ° Rociador de lluvia es de ABS resistente</t>
  </si>
  <si>
    <t>HORNO ELÉCTRICO ORYX 1400W HE102</t>
  </si>
  <si>
    <t>H:\OneDrive\TRABAJOS\TAO Accesorios\web reina\imagenes\HORNO_ELÉCTRICO_ORYX_1400W_HE102.png</t>
  </si>
  <si>
    <t>https://reinaelectronica.com.ar/producto/horno-electrico-oryx-1400w-he102/</t>
  </si>
  <si>
    <t>° Capacidad de 13L ° Potencia de 1400W ° Control de temperatura ° Temporizador con timbre y apagado automático ° Funciones tostar, hornear, asar ° Incluye: Bandeja para hornear Rejilla Agarradera</t>
  </si>
  <si>
    <t>JARRO ANTIADHERENTE ORYX 14 CM</t>
  </si>
  <si>
    <t>H:\OneDrive\TRABAJOS\TAO Accesorios\web reina\imagenes\JARRO_ANTIADHERENTE_ORYX_14_CM.png</t>
  </si>
  <si>
    <t>https://reinaelectronica.com.ar/producto/jarro-antiadherente-oryx-14-cm/</t>
  </si>
  <si>
    <t>JUGUERA ELECTRICA ORYX</t>
  </si>
  <si>
    <t>H:\OneDrive\TRABAJOS\TAO Accesorios\web reina\imagenes\JUGUERA_ELECTRICA_ORYX.png</t>
  </si>
  <si>
    <t>https://reinaelectronica.com.ar/producto/juguera-electrica-oryx/</t>
  </si>
  <si>
    <t>JUGUERA ELÉCTRICA SUONO 500W</t>
  </si>
  <si>
    <t>H:\OneDrive\TRABAJOS\TAO Accesorios\web reina\imagenes\JUGUERA_ELÉCTRICA_SUONO_500W.png</t>
  </si>
  <si>
    <t>https://reinaelectronica.com.ar/producto/juguera-electrica-suono-500w/</t>
  </si>
  <si>
    <t>LICUADORA 1,5L ORYX OR-1004</t>
  </si>
  <si>
    <t>H:\OneDrive\TRABAJOS\TAO Accesorios\web reina\imagenes\LICUADORA_15L_ORYX_OR1004.png</t>
  </si>
  <si>
    <t>https://reinaelectronica.com.ar/producto/licuadora-15l-oryx-or-1004/</t>
  </si>
  <si>
    <t>LONCHERA BENTO BOX LP-01/02/03</t>
  </si>
  <si>
    <t>H:\OneDrive\TRABAJOS\TAO Accesorios\web reina\imagenes\LONCHERA_BENTO_BOX_LP010203.jpg</t>
  </si>
  <si>
    <t>https://reinaelectronica.com.ar/producto/lonchera-bento-box-lp-01-02-03/</t>
  </si>
  <si>
    <t>°Capacidad de 1000 ml, que puede almacenar varios alimentos, como ensaladas, sándwiches, fruta, etc. °A prueba de fugas °Tres opciones de color: rosa, azul y gris, °Material de polipropileno apto para alimentos, PVC, vinilo y plomo y segura. °Apta para microondas, lavavajillas y nevera. °Incluye cuchillo y un tenedor y contiene 2 prácticos compartimentos °Con cierre de seguridad</t>
  </si>
  <si>
    <t>LONCHERA OSR G293</t>
  </si>
  <si>
    <t>H:\OneDrive\TRABAJOS\TAO Accesorios\web reina\imagenes\LONCHERA_OSR_G293.png</t>
  </si>
  <si>
    <t>https://reinaelectronica.com.ar/producto/lonchera-osr-g293/</t>
  </si>
  <si>
    <t>•Capacidad: 800ml •3 divisiones •Con cierre seguro •Incluye tenedor y cuchara •Fácil de lavar •Eco – Producto 100% libre de BPA •Varios diseños disponibles</t>
  </si>
  <si>
    <t>LUNCHERA OSR S0374 700ML</t>
  </si>
  <si>
    <t>H:\OneDrive\TRABAJOS\TAO Accesorios\web reina\imagenes\LUNCHERA_OSR_S0374_700ML.png</t>
  </si>
  <si>
    <t>https://reinaelectronica.com.ar/producto/lonchera-osr-s0374-700ml/</t>
  </si>
  <si>
    <t>•Capacidad: 700ml •2 divisiones •Con cierre seguro •Apta para microondas •Incluye recipiente de acero inoxidable y manija para transportar •Fácil de lavar •Eco – Producto 100% libre de BPA •Dos colores disponibles</t>
  </si>
  <si>
    <t>MAQUINA CONTADORA DE BILLETES M21E</t>
  </si>
  <si>
    <t>H:\OneDrive\TRABAJOS\TAO Accesorios\web reina\imagenes\MAQUINA_CONTADORA_DE_BILLETES_M21E.png</t>
  </si>
  <si>
    <t>https://reinaelectronica.com.ar/producto/maquina-contadora-de-billetes-m21e/</t>
  </si>
  <si>
    <t>1000 BILLETES POR MINUTO  DETECCION DE BILLETES FALSOS  80W</t>
  </si>
  <si>
    <t>MAQUINA DE ALGODON DE AZUCAR ORYX</t>
  </si>
  <si>
    <t>H:\OneDrive\TRABAJOS\TAO Accesorios\web reina\imagenes\MAQUINA_DE_ALGODON_DE_AZUCAR_ORYX.png</t>
  </si>
  <si>
    <t>https://reinaelectronica.com.ar/producto/maquina-de-algodon-de-azucar-oryx/</t>
  </si>
  <si>
    <t>°Recipiente circular que gira mediante un motor. °En el cuenco central se coloca el azúcar solo o con colorante, saborizante °Sólo tienes que agregarle un poco de azucar y listo!. °Para Uso Hogareño. °Se puede usar con azucar común o saborizada. °Ideal para Fiestas infantiles, Reuniones en casa o Cumpleaños. °Se recomienda usar palillos de Madera para hacer los copos (no incluidos)</t>
  </si>
  <si>
    <t>MAQUINA DE COSER ORYX S0125/OM SM-505</t>
  </si>
  <si>
    <t>H:\OneDrive\TRABAJOS\TAO Accesorios\web reina\imagenes\MAQUINA_DE_COSER_ORYX_S0125OM_SM505.png</t>
  </si>
  <si>
    <t>https://reinaelectronica.com.ar/producto/maquina-de-coser-oryx-s0125-om-sm-505/</t>
  </si>
  <si>
    <t>•Pie intercambiable •Punta de gancho de acero inoxidable •Multiples patrones de puntos •Almacenamiento incluido ( compartimento) •Mecanismo de costura superior y inferior •Bateria: 4 Pilas AA ( No incluidas) •Luz de costura incorporada •Potencia de 7,2 Wtts.</t>
  </si>
  <si>
    <t>MAQUINA DE CUPCAKES ORYX OR-C02</t>
  </si>
  <si>
    <t>H:\OneDrive\TRABAJOS\TAO Accesorios\web reina\imagenes\MAQUINA_DE_CUPCAKES_ORYX_ORC02.jpg</t>
  </si>
  <si>
    <t>https://reinaelectronica.com.ar/producto/maquina-de-cupcakes-oryx-or-c02/</t>
  </si>
  <si>
    <t>Descubre la increíble Máquina Para Cupcakes Antiadherente Muffin, diseñada para facilitar la preparación de hasta 7 deliciosos cupcakes mini de 5,5 cm de diámetro. Con su potente motor de 1200 W, disfrutarás de un calentamiento rápido y una cocción uniforme, garantizando resultados perfectos en cada uso. Su diseño compacto permite un fácil almacenamiento en cualquier cocina, mientras que las placas antiadherentes aseguran una limpieza sin complicaciones. Además, cuenta con una luz indicadora de encendido, lo que te permitirá saber cuándo está lista para usar. Este modelo OR-C 02 de la marca Oryx es ideal para quienes buscan calidad y eficiencia en la cocina. ¡Sorprende a tus amigos y familiares con cupcakes irresistibles!</t>
  </si>
  <si>
    <t>MAQUINA DE DONAS ORYX OR5002</t>
  </si>
  <si>
    <t>H:\OneDrive\TRABAJOS\TAO Accesorios\web reina\imagenes\MAQUINA_DE_DONAS_ORYX_OR5002.png</t>
  </si>
  <si>
    <t>https://reinaelectronica.com.ar/producto/maquina-de-donas-oryx-or5002/</t>
  </si>
  <si>
    <t>•Placas Antiadherentes •Luz Indicadora de Encendido •Fácil Desmolde •Potencia: 700W •Diámetro Dona: 5 cm •Voltaje: 220 – 240V / 50 – 60 Hz</t>
  </si>
  <si>
    <t>MAQUINA DE GALLETAS OR-BIM01</t>
  </si>
  <si>
    <t>H:\OneDrive\TRABAJOS\TAO Accesorios\web reina\imagenes\MAQUINA_DE_GALLETAS_ORBIM01.jpg</t>
  </si>
  <si>
    <t>https://reinaelectronica.com.ar/producto/maquina-de-galletas-or-bim01/</t>
  </si>
  <si>
    <t>° Placa calefactora antiadherente ° Temperatura constante y calor uniforme ° 13 moldes de galletitas con diferentes diseños ° Variedad de recetas: Ideal para crear galletas desde las clásicas hasta las más creativas ° Compacta y elegante: Ocupa poco espacio en tu cocina, sumando un toque de estilo ° Materiales de alta calidad: Fabricada con componentes que garantizan su durabilidad y rendimiento</t>
  </si>
  <si>
    <t>MAQUINA DE HAMBURGUESAS ORYX</t>
  </si>
  <si>
    <t>H:\OneDrive\TRABAJOS\TAO Accesorios\web reina\imagenes\MAQUINA_DE_HAMBURGUESAS_ORYX.png</t>
  </si>
  <si>
    <t>https://reinaelectronica.com.ar/producto/maquina-de-hamburguesas-oryx/</t>
  </si>
  <si>
    <t>° Su diseño con tapa te permitirá conservar de una manera óptima el calor durante la cocción de tus alimentos para que obtengas carnes y vegetales tiernos y deliciosos ° Voltaje: 240V ° Asador con tapa ° Potencia de 750W ° Superficie antiadherente ° Incluye molde para hacer hamburguesas caseras</t>
  </si>
  <si>
    <t>MICROONDAS ORYX 20L OR-MIC01 1000W</t>
  </si>
  <si>
    <t>H:\OneDrive\TRABAJOS\TAO Accesorios\web reina\imagenes\MICROONDAS_ORYX_20L_ORMIC01_1000W.jpg</t>
  </si>
  <si>
    <t>https://reinaelectronica.com.ar/producto/microondas-oryx-20l-or-mic01-1000w/</t>
  </si>
  <si>
    <t>°Capacidad 20 L °Potencia de 1000W °8 funciones de cocción y descongelacion °Panel digital °Plato giratorio °Temporizador °Con seguro para niños °Reloj digital °Señal de fin de cocción</t>
  </si>
  <si>
    <t>MINI BALANZA DIGITAL 500 GRAMOS</t>
  </si>
  <si>
    <t>H:\OneDrive\TRABAJOS\TAO Accesorios\web reina\imagenes\MINI_BALANZA_DIGITAL_500_GRAMOS.png</t>
  </si>
  <si>
    <t>https://reinaelectronica.com.ar/producto/mini-balanza-digital-500-gramos/</t>
  </si>
  <si>
    <t>° Diseño compacto y portátil permite llevarla a cualquier lugar ° Calibración automática garantiza mediciones precisas en todo momento ° Tipo de báscula: Digital 0.01g a 500g ° Apagado automático ° Pantalla LCD retroiluminada ° Tipo de alimentación 2 pilas AAA (No incluídas) ° Dimensiones: 12cm x 6,20cm</t>
  </si>
  <si>
    <t>MINI MAQUINA DE COSER ORYX S01247/OM202A</t>
  </si>
  <si>
    <t>H:\OneDrive\TRABAJOS\TAO Accesorios\web reina\imagenes\MINI_MAQUINA_DE_COSER_ORYX_S01247OM202A.jpg</t>
  </si>
  <si>
    <t>https://reinaelectronica.com.ar/producto/mini-maquina-de-coser-oryx-s01247-om202a/</t>
  </si>
  <si>
    <t>° Costura a precisión ° 2 velocidades ° Tensor ajustable ° Luz led incorporada ° Palanca niveladora ° Funciona a pilas (4 AA No incluídas) o fuente de alimentación de 220V (Incluída) ° Incluye pedal ° Dimensiones: 19x20x10cm</t>
  </si>
  <si>
    <t>MINI PIMER ORYX HB-3505</t>
  </si>
  <si>
    <t>H:\OneDrive\TRABAJOS\TAO Accesorios\web reina\imagenes\MINI_PIMER_ORYX_HB3505.png</t>
  </si>
  <si>
    <t>https://reinaelectronica.com.ar/producto/mini-pimer-oryx-hb-3505/</t>
  </si>
  <si>
    <t>MINI VENTILADOR CON USB TW198/18008</t>
  </si>
  <si>
    <t>H:\OneDrive\TRABAJOS\TAO Accesorios\web reina\imagenes\MINI_VENTILADOR_CON_USB_TW19818008.jpg</t>
  </si>
  <si>
    <t>https://reinaelectronica.com.ar/producto/mini-ventilador-con-usb-tw198-18008/</t>
  </si>
  <si>
    <t>° 3 velocidades ° Recargable USB, sin enchufes y gastos excesivos en energía ° Cómodo y práctico te ayudará a mantener la temperatura de tus habitaciones ° Su tamaño portátil te permite llevarlo a cualquier parte ° Fácil de usar, con botones de control de velocidad ajustables y directores de aire ajustables ° Además, funciona como humidificador y purificador de aire, económico y respetuoso con el medio ambiente</t>
  </si>
  <si>
    <t>MINI VENTILADOR S180 RECARGABLE</t>
  </si>
  <si>
    <t>H:\OneDrive\TRABAJOS\TAO Accesorios\web reina\imagenes\MINI_VENTILADOR_S180_RECARGABLE.png</t>
  </si>
  <si>
    <t>https://reinaelectronica.com.ar/producto/mini-ventilador-s180-recargable/</t>
  </si>
  <si>
    <t>MOLINILLO DE CAFE KANJI KJH-CGM001 200W</t>
  </si>
  <si>
    <t>H:\OneDrive\TRABAJOS\TAO Accesorios\web reina\imagenes\MOLINILLO_DE_CAFE_KANJI_KJHCGM001_200W.png</t>
  </si>
  <si>
    <t>https://reinaelectronica.com.ar/producto/molinillo-de-cafe-kanji-kjh-cgm001-200w/</t>
  </si>
  <si>
    <t>MOLINILLO MANUAL CON RECIPIENTE</t>
  </si>
  <si>
    <t>H:\OneDrive\TRABAJOS\TAO Accesorios\web reina\imagenes\MOLINILLO_MANUAL_CON_RECIPIENTE.png</t>
  </si>
  <si>
    <t>https://reinaelectronica.com.ar/producto/molinillo-manual-con-recipiente/</t>
  </si>
  <si>
    <t>OLLA ELECTRICA LEGATUS 5 LITROS</t>
  </si>
  <si>
    <t>H:\OneDrive\TRABAJOS\TAO Accesorios\web reina\imagenes\OLLA_ELECTRICA_LEGATUS_5_LITROS.png</t>
  </si>
  <si>
    <t>https://reinaelectronica.com.ar/producto/olla-electrica-legatus-5-litros/</t>
  </si>
  <si>
    <t>OLLA ELECTRICA ORYX EEL0035/EEL0098/5050</t>
  </si>
  <si>
    <t>H:\OneDrive\TRABAJOS\TAO Accesorios\web reina\imagenes\OLLA_ELECTRICA_ORYX_EEL0035EEL00985050.jpg</t>
  </si>
  <si>
    <t>https://reinaelectronica.com.ar/producto/olla-electrica-oryx-eel0035-eel0098-5050/</t>
  </si>
  <si>
    <t>° Capacidad 5L ° 1300W ° Mayor durabilidad con asas de silicona ° Revestimiento antiadherente que garantiza una cocción uniforme y fácil limpieza ° Sensor de temperatura y termostato regulable ° Incluye cuchara de madera de regalo</t>
  </si>
  <si>
    <t>PANCHUQUERA</t>
  </si>
  <si>
    <t>H:\OneDrive\TRABAJOS\TAO Accesorios\web reina\imagenes\PANCHUQUERA.jpg</t>
  </si>
  <si>
    <t>https://reinaelectronica.com.ar/producto/panchuquera/</t>
  </si>
  <si>
    <t>° Capacidad 6 panchuques ° Construída íntegramente en acero inoxidable ° Moldes antiadherentes ° Asa superior de madera para no transmisión de calor ° Equipada con cable de alta temperatura y resistencia ° Interruptor y luz de encendido ° Calidad y durabilidad garantizada</t>
  </si>
  <si>
    <t>PANQUEQUERA ELECTRICA ORYX OR-201PC</t>
  </si>
  <si>
    <t>H:\OneDrive\TRABAJOS\TAO Accesorios\web reina\imagenes\PANQUEQUERA_ELECTRICA_ORYX_OR201PC.png</t>
  </si>
  <si>
    <t>https://reinaelectronica.com.ar/producto/panquequera-electrica-oryx-or-201pc/</t>
  </si>
  <si>
    <t>•220V; 50Hz; 700W •Superficie antiadherente •Base de 20 cm de diametro •Indicador luminoso •Incluye bowl y batidor •Las imagenes aplicadas son de caracter</t>
  </si>
  <si>
    <t>PAVA TERMO KANJI</t>
  </si>
  <si>
    <t>H:\OneDrive\TRABAJOS\TAO Accesorios\web reina\imagenes\PAVA_TERMO_KANJI.jpg</t>
  </si>
  <si>
    <t>https://reinaelectronica.com.ar/producto/pava-termo-kanji/</t>
  </si>
  <si>
    <t>Capacidad de 1,8 litros. Potencia de 1300W A 1500W. Aislación al Calor. Luego de hervir mantiene la temperatura a 80. Frio al tacto. Apagado automático cuando hierve.</t>
  </si>
  <si>
    <t>PICADORA ELETRICA ORYX VC-10 2L</t>
  </si>
  <si>
    <t>H:\OneDrive\TRABAJOS\TAO Accesorios\web reina\imagenes\PICADORA_ELETRICA_ORYX_VC10_2L.jpg</t>
  </si>
  <si>
    <t>https://reinaelectronica.com.ar/producto/picadora-eletrica-oryx-vc-10-2l/</t>
  </si>
  <si>
    <t>° Cuchilla de acero en doble altura ° Capacidad: 2 L ° Base antideslizante ° Práctica y fácil de usarse ° Bowl de vidrio ° Botón accionador ° Prepara fácilmente y de una sola operación ° Apoyo desmontable de silicona ° Medidas : 25 cm alto x 21 cm anch</t>
  </si>
  <si>
    <t>POCHOCLERA ORYX OR-0089</t>
  </si>
  <si>
    <t>H:\OneDrive\TRABAJOS\TAO Accesorios\web reina\imagenes\POCHOCLERA_ORYX_OR0089.jpg</t>
  </si>
  <si>
    <t>https://reinaelectronica.com.ar/producto/pochoclera-oryx-or-0089/</t>
  </si>
  <si>
    <t>° Cuerpo y visor de plástico ° Protección contra sobrecalentamiento ° Potencia 1100W ° Cocción por aire caliente ° Libre de grasas y aceites ° Incluye cuchara medidora ° Interruptor de encendido</t>
  </si>
  <si>
    <t>PROLONGADOR 7 SALIDAS</t>
  </si>
  <si>
    <t>H:\OneDrive\TRABAJOS\TAO Accesorios\web reina\imagenes\PROLONGADOR_7_SALIDAS.png</t>
  </si>
  <si>
    <t>https://reinaelectronica.com.ar/producto/prolongador-7-salidas/</t>
  </si>
  <si>
    <t>SANDWICHERA 3 EN 1 LEGATUS</t>
  </si>
  <si>
    <t>H:\OneDrive\TRABAJOS\TAO Accesorios\web reina\imagenes\SANDWICHERA_3_EN_1_LEGATUS.png</t>
  </si>
  <si>
    <t>https://reinaelectronica.com.ar/producto/sandwichera-3-en-1-legatus/</t>
  </si>
  <si>
    <t>SANDWICHERA ORYX OR-1700</t>
  </si>
  <si>
    <t>H:\OneDrive\TRABAJOS\TAO Accesorios\web reina\imagenes\SANDWICHERA_ORYX_OR1700.png</t>
  </si>
  <si>
    <t>https://reinaelectronica.com.ar/producto/sandwichera-oryx-or-1700/</t>
  </si>
  <si>
    <t>•Potencia 800W •Distribución uniforme de calor •Superficie antiadherente •Base antideslizante •Con traba de seguridad •Indicador luminoso •Fácil de usar y de limpia</t>
  </si>
  <si>
    <t>SATEN ANTIADHERENTE ORYX 26CM</t>
  </si>
  <si>
    <t>H:\OneDrive\TRABAJOS\TAO Accesorios\web reina\imagenes\SATEN_ANTIADHERENTE_ORYX_26CM.png</t>
  </si>
  <si>
    <t>https://reinaelectronica.com.ar/producto/saten-antiadherente-oryx-26cm/</t>
  </si>
  <si>
    <t>SECAPLATOS ORYX OR-744</t>
  </si>
  <si>
    <t>H:\OneDrive\TRABAJOS\TAO Accesorios\web reina\imagenes\SECAPLATOS_ORYX_OR744.jpg</t>
  </si>
  <si>
    <t>https://reinaelectronica.com.ar/producto/secaplatos-oryx-or-744/</t>
  </si>
  <si>
    <t>°Fabricado de acero °Base de plastico °Diseño desmontable facilita la limpieza °Estructura resistente te garantiza durabilidad. °Tiene capacidad para 12 platos. °Posee 2 niveles. °Con seca vasos. °Con cubiertero. °Dimensiones: 25cm de ancho x 35cm de largo x 36cm de alto.</t>
  </si>
  <si>
    <t>SELLADORA DE BOLSAS 40CM</t>
  </si>
  <si>
    <t>H:\OneDrive\TRABAJOS\TAO Accesorios\web reina\imagenes\SELLADORA_DE_BOLSAS_40CM.png</t>
  </si>
  <si>
    <t>https://reinaelectronica.com.ar/producto/selladora-de-bolsas-40cm/</t>
  </si>
  <si>
    <t>•Tipo de impulso manual •Base de sellado hermético •Indicador led •7 Niveles de potencia •Regulador electrónico progresivo •Cuerpo de plástico •Un sellado duradero y resistente garantizado</t>
  </si>
  <si>
    <t>SELLADORA DE BOLSAS OM 20CM</t>
  </si>
  <si>
    <t>H:\OneDrive\TRABAJOS\TAO Accesorios\web reina\imagenes\SELLADORA_DE_BOLSAS_OM_20CM.png</t>
  </si>
  <si>
    <t>https://reinaelectronica.com.ar/producto/selladora-de-bolsas-om-20cm/</t>
  </si>
  <si>
    <t>SET DE OLLAS 5 PCS ANTIADHERENTES</t>
  </si>
  <si>
    <t>H:\OneDrive\TRABAJOS\TAO Accesorios\web reina\imagenes\SET_DE_OLLAS_5_PCS_ANTIADHERENTES.png</t>
  </si>
  <si>
    <t>https://reinaelectronica.com.ar/producto/set-de-ollas-5-pcs-antiadherentes/</t>
  </si>
  <si>
    <t>SET DE OLLAS ORYX X9 PIEZAS</t>
  </si>
  <si>
    <t>H:\OneDrive\TRABAJOS\TAO Accesorios\web reina\imagenes\SET_DE_OLLAS_ORYX_X9_PIEZAS.png</t>
  </si>
  <si>
    <t>https://reinaelectronica.com.ar/producto/set-de-ollas-oryx-x9-piezas/</t>
  </si>
  <si>
    <t>SET DE TENEDOR MADERA X6 S-1160</t>
  </si>
  <si>
    <t>H:\OneDrive\TRABAJOS\TAO Accesorios\web reina\imagenes\SET_DE_TENEDOR_MADERA_X6_S1160.jpg</t>
  </si>
  <si>
    <t>https://reinaelectronica.com.ar/producto/set-de-tenedor-madera-x6-s-1160/</t>
  </si>
  <si>
    <t>Este elegante y resistente set de cubiertos combina la durabilidad del acero inoxidable de alta calidad con la belleza natural de un mango de madera. El acero inoxidable pulido aporta un brillo duradero y una resistencia excepcional a la corrosión, lo que garantiza que este tenedor se mantenga en perfectas condiciones durante mucho tiempo</t>
  </si>
  <si>
    <t>SET X10 UTENSILIOS PARA COCINA DE SILICONA</t>
  </si>
  <si>
    <t>H:\OneDrive\TRABAJOS\TAO Accesorios\web reina\imagenes\SET_X10_UTENSILIOS_PARA_COCINA_DE_SILICONA.png</t>
  </si>
  <si>
    <t>https://reinaelectronica.com.ar/producto/set-x10-utensilios-para-cocina-de-silicona/</t>
  </si>
  <si>
    <t>SET X3 DE BOTELLAS DE AGUA BT01/21-26</t>
  </si>
  <si>
    <t>H:\OneDrive\TRABAJOS\TAO Accesorios\web reina\imagenes\SET_X3_DE_BOTELLAS_DE_AGUA_BT012126.jpg</t>
  </si>
  <si>
    <t>https://reinaelectronica.com.ar/producto/set-x3-de-botellas-de-agua-bt01-21-26/</t>
  </si>
  <si>
    <t>° Capacidad: 2 litros, 900ml y 300ml ° Con boquillas de silicona ° Botón de seguridad ° Cada una con horario motivacional ° Correa para trasladar ° 4 combinaciones de colores disponibles ° Incluyen stickers</t>
  </si>
  <si>
    <t>SET X3 DE OLLAS ORYX EL0202</t>
  </si>
  <si>
    <t>H:\OneDrive\TRABAJOS\TAO Accesorios\web reina\imagenes\SET_X3_DE_OLLAS_ORYX_EL0202.jpg</t>
  </si>
  <si>
    <t>https://reinaelectronica.com.ar/producto/set-x3-de-ollas-oryx-el0202/</t>
  </si>
  <si>
    <t>° Cuerpo de acero con revestimiento interior antiadherente ° Base distribuidora de calor ° Tapa de vidrio con salida para vapor ° Mangos de silicona  Incluye ° 1 Olla (24cm de diámetro) ° 1 Sartén (26cm de diámetro) ° 1 Caserola (22cm de diámetro)</t>
  </si>
  <si>
    <t>SET X5 DE OLLAS ORYX EKT0499B/D/G/W</t>
  </si>
  <si>
    <t>H:\OneDrive\TRABAJOS\TAO Accesorios\web reina\imagenes\SET_X5_DE_OLLAS_ORYX_EKT0499BDGW.jpg</t>
  </si>
  <si>
    <t>https://reinaelectronica.com.ar/producto/set-x5-de-ollas-oryx-ekt0499b-d-g-w/</t>
  </si>
  <si>
    <t>°Tecnología antiadherente °Base difusora de calor °Mango simple °Set de 5 piezas °Incluye: -Olla 18×8.3cm con tapa de vidrio -Olla 24×8.3cm con tapa de vidrio -Bifera 24.5x3cm sin tapa</t>
  </si>
  <si>
    <t>SET X9 DE OLLAS ORYX OR-118</t>
  </si>
  <si>
    <t>H:\OneDrive\TRABAJOS\TAO Accesorios\web reina\imagenes\SET_X9_DE_OLLAS_ORYX_OR118.png</t>
  </si>
  <si>
    <t>https://reinaelectronica.com.ar/producto/set-x9-de-ollas-oryx-or-118/</t>
  </si>
  <si>
    <t>•Material aluminio •Interior color negro con revestimiento antiadherente •Mangos antitérmicos siliconados •Tapas de vidrio con válvula de vapo •Incluye: •1 Olla con asa y tapa de vidrio 20x9cm •1 Sartén sin tapa 24x7cm •1 Caserola con asa y tapa de vidrio 16x7cm •1 Sartén sin tapa 26x5cm •1 Jarro de leche 14x11cm</t>
  </si>
  <si>
    <t>TERMO ELECTRICO 1L</t>
  </si>
  <si>
    <t>H:\OneDrive\TRABAJOS\TAO Accesorios\web reina\imagenes\TERMO_ELECTRICO_1L.png</t>
  </si>
  <si>
    <t>https://reinaelectronica.com.ar/producto/termo-electrico-1l/</t>
  </si>
  <si>
    <t>TOSTADORA 2 RANURAS ORYX OR-501</t>
  </si>
  <si>
    <t>H:\OneDrive\TRABAJOS\TAO Accesorios\web reina\imagenes\TOSTADORA_2_RANURAS_ORYX_OR501.png</t>
  </si>
  <si>
    <t>https://reinaelectronica.com.ar/producto/tostadora-2-ranuras-oryx-or-501/</t>
  </si>
  <si>
    <t>° Potencia 750W ° Tostado rápido y uniforme en cada uso ° Dos ranuras amplias ° Eyeccion automática ° Fácil limpieza</t>
  </si>
  <si>
    <t>UTENSILIOS DE COCINA X5 SAA125</t>
  </si>
  <si>
    <t>H:\OneDrive\TRABAJOS\TAO Accesorios\web reina\imagenes\UTENSILIOS_DE_COCINA_X5_SAA125.jpg</t>
  </si>
  <si>
    <t>https://reinaelectronica.com.ar/producto/utensilios-de-cocina-x5-saa125/</t>
  </si>
  <si>
    <t>°Este set incluye 5 utensilios, elaborados en silicona °1 Batidor °1 Brocha °1 Espátula plana grande °1 Espátula plana pequeña °1 espátula con codo °Son livianos, con diseño ergonómico, fáciles de usar y limpiar. °Elaborados en silicona de grado alimenticio, libres de BPA. °Disponibles en color rojo, negro, azul y rosado.</t>
  </si>
  <si>
    <t>UTENSILIOS DE COCINA X6 KUNSION KSS-6802</t>
  </si>
  <si>
    <t>H:\OneDrive\TRABAJOS\TAO Accesorios\web reina\imagenes\UTENSILIOS_DE_COCINA_X6_KUNSION_KSS6802.png</t>
  </si>
  <si>
    <t>https://reinaelectronica.com.ar/producto/utensilios-de-cocina-x6-kunsion-kss-6802/</t>
  </si>
  <si>
    <t>UTENSILIOS DE COCINA X6 PIEZAS COLORES</t>
  </si>
  <si>
    <t>H:\OneDrive\TRABAJOS\TAO Accesorios\web reina\imagenes\UTENSILIOS_DE_COCINA_X6_PIEZAS_COLORES.png</t>
  </si>
  <si>
    <t>https://reinaelectronica.com.ar/producto/utensilios-de-cocina-x6-piezas-colores/</t>
  </si>
  <si>
    <t>•Set de 6 piezas en acero con todo lo que necesitas para tus comidas •Colores pastel suaves y elegantes, perfectos para darle vida a tu espacio •Material duradero, antiadherente y resistente al calor, pensado para el uso diario  •Incluye: •Cuchillo pelador •Cuchillo para pan •Cuchillo chef •Cuchilla pequeña •Tijera •Pelador</t>
  </si>
  <si>
    <t>WAFLERA ORYX S1807/S1814</t>
  </si>
  <si>
    <t>H:\OneDrive\TRABAJOS\TAO Accesorios\web reina\imagenes\WAFLERA_ORYX_S1807S1814.jpg</t>
  </si>
  <si>
    <t>https://reinaelectronica.com.ar/producto/waflera-oryx-s1807-s1814/</t>
  </si>
  <si>
    <t>Voltaje: 220V Material de las placas de cocción: teflón. Es antiadherente. Cantidad de waffles que se pueden cocinar: 2. Diseño del waffle: clásico. Potencia de 750W. Con luz de encendido. Tiene mango resistente al calor.</t>
  </si>
  <si>
    <t>YOGURTERA ELÉCTRICA 720ML SUONO</t>
  </si>
  <si>
    <t>H:\OneDrive\TRABAJOS\TAO Accesorios\web reina\imagenes\YOGURTERA_ELÉCTRICA_720ML_SUONO.png</t>
  </si>
  <si>
    <t>https://reinaelectronica.com.ar/producto/yogurtera-electrica-720ml-suono/</t>
  </si>
  <si>
    <t>ANAFE ELECTRICO ORYX 1HORNALLA HPS-102</t>
  </si>
  <si>
    <t>H:\OneDrive\TRABAJOS\TAO Accesorios\web reina\imagenes\ANAFE_ELECTRICO_ORYX_1HORNALLA_HPS102.jpg</t>
  </si>
  <si>
    <t>https://reinaelectronica.com.ar/producto/anafe-electrico-oryx-1hornalla-hps-102/</t>
  </si>
  <si>
    <t>° Voltaje 220V ° Potencia 1000W para cocinar rápido y eficiente ° Con encendido automático y 1 quemador ° Temperatura regulable ° Placa radiante ° Con indicadores luminosos ° Estructura de acero forjado con tacos de goma</t>
  </si>
  <si>
    <t>BALANZA DE COCINA SF-400 10KG</t>
  </si>
  <si>
    <t>H:\OneDrive\TRABAJOS\TAO Accesorios\web reina\imagenes\BALANZA_DE_COCINA_SF400_10KG.jpg</t>
  </si>
  <si>
    <t>https://reinaelectronica.com.ar/producto/balanza-de-cocina-sf-400-10kg/</t>
  </si>
  <si>
    <t>° Sensibilidad de 1g ° Capacidad máxima hasta 10kg ° Se apaga de forma automática ° Función TARA para pesar ingredientes sin contabilizar el peso del recipiente ° Indica sobrepeso ° Tipo de alimentación 2 pilas AA (No incluídas) ° Dimensiones: Largo 24cm – Ancho 16,5cm</t>
  </si>
  <si>
    <t>PAVA ELÉCTRICA 2200 W</t>
  </si>
  <si>
    <t>H:\OneDrive\TRABAJOS\TAO Accesorios\catalogo maestro\imagen\PAVA ELÉCTRICA  ORYX 2200 W copia.jpg</t>
  </si>
  <si>
    <t>BALANZA PORTATIL SEIS AV-637/K24056</t>
  </si>
  <si>
    <t>H:\OneDrive\TRABAJOS\TAO Accesorios\web reina\imagenes\BALANZA_PORTATIL_SEIS_AV637K24056.jpg</t>
  </si>
  <si>
    <t>https://reinaelectronica.com.ar/producto/balanza-portatil-seis-av-637-k24056/</t>
  </si>
  <si>
    <t>OLLA ELECTRICA ORYX OR-5010</t>
  </si>
  <si>
    <t>H:\OneDrive\TRABAJOS\TAO Accesorios\web reina\imagenes\OLLA_ELECTRICA_ORYX_OR5010.png</t>
  </si>
  <si>
    <t>https://reinaelectronica.com.ar/producto/olla-electrica-oryx-or-5010/</t>
  </si>
  <si>
    <t>DISPENSOR DE AGUA AUTOMATIC WATER DA-01</t>
  </si>
  <si>
    <t>H:\OneDrive\TRABAJOS\TAO Accesorios\web reina\imagenes\DISPENSOR_DE_AGUA_AUTOMATIC_WATER_DA01.jpg</t>
  </si>
  <si>
    <t>https://reinaelectronica.com.ar/producto/dispensor-de-agua-automatic-water-da-01/</t>
  </si>
  <si>
    <t>°Recargable con un cable USB y un solo grifo para recoger el agua de una manera práctica y eficaz. °Duración de la batería: 3 horas de carga °Se carga al mismo tiempo que se usa. °Tiene capacidad para botellas de 5L, 10L, 20L y similares °Tamaño: 13 cm de largo y 5 cm de ancho °Voltaje: Bivolt 110 V – 220 V</t>
  </si>
  <si>
    <t>MAQUINA DE HIELO ORYX</t>
  </si>
  <si>
    <t>H:\OneDrive\TRABAJOS\TAO Accesorios\web reina\imagenes\MAQUINA_DE_HIELO_ORYX.png</t>
  </si>
  <si>
    <t>https://reinaelectronica.com.ar/producto/maquina-de-hielo-oryx/</t>
  </si>
  <si>
    <t>MULTIPROCESADORA + LICUADORA ORYX OR0946</t>
  </si>
  <si>
    <t>H:\OneDrive\TRABAJOS\TAO Accesorios\web reina\imagenes\MULTIPROCESADORA__LICUADORA_ORYX_OR0946.png</t>
  </si>
  <si>
    <t>https://reinaelectronica.com.ar/producto/multiprocesadora-licuadora-oryx-or0946/</t>
  </si>
  <si>
    <t>•¡Licua, procesa, corta, pica, ralla, rebana y mezcla! •Vaso procesador: 0,8 litros de capacidad •Vaso licuador: 1,5 litros de capacidad •2 velocidades •Base antideslizante •Potencia: 550 watts •Incluye rallador</t>
  </si>
  <si>
    <t>PROCESADORA DE VERDURA OSR C/USB P589-01</t>
  </si>
  <si>
    <t>H:\OneDrive\TRABAJOS\TAO Accesorios\web reina\imagenes\PROCESADORA_DE_VERDURA_OSR_CUSB_P58901.jpg</t>
  </si>
  <si>
    <t>https://reinaelectronica.com.ar/producto/procesadora-de-verdura-osr-c-usb-p589-01/</t>
  </si>
  <si>
    <t>° Se puede fijar firmemente en su escritorio para evitar que se deslice o vuelque ° Trituración con un solo click, ahorrando tiempo y esfuerzo ° Carga inalámbrica portátil mediante tipo C ° Cubierta a prueba de salpicaduras segura y fácil de limpiar</t>
  </si>
  <si>
    <t>RALLADOR MANDOLINA MANUAL ORYX RAMKA3</t>
  </si>
  <si>
    <t>H:\OneDrive\TRABAJOS\TAO Accesorios\web reina\imagenes\RALLADOR_MANDOLINA_MANUAL_ORYX_RAMKA3.jpg</t>
  </si>
  <si>
    <t>https://reinaelectronica.com.ar/producto/rallador-mandolina-manual-oryx-ramka3/</t>
  </si>
  <si>
    <t>° Material: PVC y metal ° Base antideslizante ° Desarmable 100% para limpiar ° Incluye 3 conos intercambiables Corte en rodajas Corte en rallado fino Corte en rallado grueso ° Apto para lavavajillas ° Libre de BPA</t>
  </si>
  <si>
    <t>PLANCHA SECA KANJI HJK-PL1001</t>
  </si>
  <si>
    <t>H:\OneDrive\TRABAJOS\TAO Accesorios\web reina\imagenes\PLANCHA_SECA_KANJI_HJKPL1001.png</t>
  </si>
  <si>
    <t>https://reinaelectronica.com.ar/producto/plancha-seca-kanji-hjk-pl1001/</t>
  </si>
  <si>
    <t>PURIFICADOR DE AGUA P014-01</t>
  </si>
  <si>
    <t>H:\OneDrive\TRABAJOS\TAO Accesorios\web reina\imagenes\PURIFICADOR_DE_AGUA_P01401.png</t>
  </si>
  <si>
    <t>https://reinaelectronica.com.ar/producto/purificador-de-agua-p014-01/</t>
  </si>
  <si>
    <t>ORGANIZADOR DE ALIMENTOS JM-828-4 X4 PCS</t>
  </si>
  <si>
    <t>H:\OneDrive\TRABAJOS\TAO Accesorios\web reina\imagenes\ORGANIZADOR_DE_ALIMENTOS_JM8284_X4_PCS.jpg</t>
  </si>
  <si>
    <t>https://reinaelectronica.com.ar/producto/organizador-de-alimentos-jm-828-4-x4-pcs/</t>
  </si>
  <si>
    <t>° 4 PCS con tapa de seguridad ° Fabricados con materiales de alta calidad y libres de BPA, estos contenedores son seguros para almacenar una variedad de productos, desde cereales y granos hasta legumbres y pasta ° Diseño transparente y apilable que te permite identificar fácilmente lo que hay dentro ° Con un estilo moderno y una construcción duradera, estos contenedores son ideales para mantener tu despensa organizada y tus alimentos frescos ° Contiene: 2 x 21,5cm de alto, 13cm de ancho, 10cm de profundidad. 2 x 11cm de alto, 13cm de ancho, 10cm de profundidad.</t>
  </si>
  <si>
    <t>ORGANIZADOR DE ALIMENTOS JM-828-7/7A-01</t>
  </si>
  <si>
    <t>H:\OneDrive\TRABAJOS\TAO Accesorios\web reina\imagenes\ORGANIZADOR_DE_ALIMENTOS_JM82877A01.jpg</t>
  </si>
  <si>
    <t>https://reinaelectronica.com.ar/producto/organizador-de-alimentos-jm-828-7-7a-01/</t>
  </si>
  <si>
    <t>° 7 PCS con tapa de seguridad ° Fabricados con materiales de alta calidad y libres de BPA, estos contenedores son seguros para almacenar una variedad de productos, desde cereales y granos hasta legumbres y pasta ° Diseño transparente y apilable que te permite identificar fácilmente lo que hay dentro</t>
  </si>
  <si>
    <t>ORGANIZADOR DE ALIMENTOS JN-330 X5 PCS</t>
  </si>
  <si>
    <t>H:\OneDrive\TRABAJOS\TAO Accesorios\web reina\imagenes\ORGANIZADOR_DE_ALIMENTOS_JN330_X5_PCS.jpg</t>
  </si>
  <si>
    <t>https://reinaelectronica.com.ar/producto/organizador-de-alimentos-jn-330-x5-pcs/</t>
  </si>
  <si>
    <t>Contiene:  º1x 1,9 L  º1X 1,2 L  º2X 0,8 L  º1X 0,5 L</t>
  </si>
  <si>
    <t>ORGANIZADOR DE ALIMENTOS JN-332 X6 PCS</t>
  </si>
  <si>
    <t>H:\OneDrive\TRABAJOS\TAO Accesorios\web reina\imagenes\ORGANIZADOR_DE_ALIMENTOS_JN332_X6_PCS.jpg</t>
  </si>
  <si>
    <t>https://reinaelectronica.com.ar/producto/organizador-de-alimentos-jn-332-x6-pcs/</t>
  </si>
  <si>
    <t>contiene:  º 2 x1,2 L  º2x 0,8L  º2x 0,5 L</t>
  </si>
  <si>
    <t>https://reinaelectronica.com.ar/producto/organizador-de-bano/</t>
  </si>
  <si>
    <t>Espacio Amplio: Con tres niveles, ofrece suficiente espacio para almacenar productos de higiene, utensilios de cocina, especias o accesorios, manteniendo todo al alcance de la mano. Diseño Elegante: Su acabado moderno y minimalista se adapta a cualquier decoración, aportando un toque de sofisticación a tu baño o cocina. Materiales de Alta Calidad: Fabricado con materiales resistentes y duraderos, asegura una larga vida útil y una excelente capacidad de carga. Fácil Acceso: Los estantes abiertos permiten un acceso rápido y sencillo a tus artículos, facilitando la organización y el uso diario. Versatilidad: Ideal para baños, cocinas o incluso despensas, este organizador se adapta a diversas necesidades de almacenamiento en el hogar. Fácil Montaje: Incluye instrucciones claras y todas las piezas necesarias para un ensamblaje rápido y sin complicaciones.</t>
  </si>
  <si>
    <t>ORGANIZADOR DE ZAPATOS X7 NIVELES</t>
  </si>
  <si>
    <t>H:\OneDrive\TRABAJOS\TAO Accesorios\web reina\imagenes\ORGANIZADOR_DE_ZAPATOS_X7_NIVELES.png</t>
  </si>
  <si>
    <t>https://reinaelectronica.com.ar/producto/organizador-de-zapatos-x7-niveles/</t>
  </si>
  <si>
    <t>ORGANIZADOR DE ZAPATOS x 5 NIVELES</t>
  </si>
  <si>
    <t>H:\OneDrive\TRABAJOS\TAO Accesorios\catalogo maestro\imagen\ORGANIZADOR DE ZAPATOS x 5 NIVELES.jpg</t>
  </si>
  <si>
    <t>BOTELLA DEPORTIVA VACUUM CUP/2069</t>
  </si>
  <si>
    <t>H:\OneDrive\TRABAJOS\TAO Accesorios\web reina\imagenes\BOTELLA_DEPORTIVA_VACUUM_CUP2069.jpg</t>
  </si>
  <si>
    <t>https://reinaelectronica.com.ar/producto/botella-deportiva-vacuum-cup-2069/</t>
  </si>
  <si>
    <t>° Capacidad: 1L ° Material: Doble capa de acero inoxidable ° Tapa a rosca ° Incluye filtro para infusiones y correa para transportar ° Material de alta durabilidad ° Disponible en 4 colores ??</t>
  </si>
  <si>
    <t>TERMO 1L HEIZEN GERMANY TMA-11C</t>
  </si>
  <si>
    <t>H:\OneDrive\TRABAJOS\TAO Accesorios\web reina\imagenes\TERMO_1L_HEIZEN_GERMANY_TMA11C.jpg</t>
  </si>
  <si>
    <t>https://reinaelectronica.com.ar/producto/termo-1l-heizen-germany-tma-11c/</t>
  </si>
  <si>
    <t>° Capacidad del termo 1L °Podes usar la tapa de aluminio como mate ° Libre de BPA ° Mantiene tanto bebidas frías como calientes por 24hs ° Varios colores disponibles ° Con bombilla de aluminio incluída</t>
  </si>
  <si>
    <t>TERMO+MATE 1.2L GERMANY TMA22S/LEGENDARY</t>
  </si>
  <si>
    <t>H:\OneDrive\TRABAJOS\TAO Accesorios\web reina\imagenes\TERMOMATE_12L_GERMANY_TMA22SLEGENDARY.jpg</t>
  </si>
  <si>
    <t>https://reinaelectronica.com.ar/producto/termomate-1-2l-germany-tma22s-legendary/</t>
  </si>
  <si>
    <t>° Capacidad del termo 1.2L – Mate 360ml ° Libre de BPA ° Mantiene tanto bebidas frías como calientes por 24hs ° Varios colores disponibles ° Con bombilla de aluminio incluída</t>
  </si>
  <si>
    <t>BOTELLA SITARUN INSULATED 800ML SUS 304</t>
  </si>
  <si>
    <t>H:\OneDrive\TRABAJOS\TAO Accesorios\web reina\imagenes\BOTELLA_SITARUN_INSULATED_800ML_SUS_304.jpg</t>
  </si>
  <si>
    <t>https://reinaelectronica.com.ar/producto/botella-sitarun-insulated-800ml-sus-304/</t>
  </si>
  <si>
    <t>BOTELLAS DEPORTIVA 1LT OSR G275-02</t>
  </si>
  <si>
    <t>H:\OneDrive\TRABAJOS\TAO Accesorios\web reina\imagenes\BOTELLAS_DEPORTIVA_1LT_OSR_G27502.jpg</t>
  </si>
  <si>
    <t>https://reinaelectronica.com.ar/producto/botellas-deportiva-1lt-osr-g275-02/</t>
  </si>
  <si>
    <t>BOTELLAS DEPORTIVA 800ML OSR G274</t>
  </si>
  <si>
    <t>H:\OneDrive\TRABAJOS\TAO Accesorios\web reina\imagenes\BOTELLAS_DEPORTIVA_800ML_OSR_G274.jpg</t>
  </si>
  <si>
    <t>https://reinaelectronica.com.ar/producto/botellas-deportiva-800ml-osr-g274/</t>
  </si>
  <si>
    <t>* Capacidad 800ML * Material Plástico * Incluye Correa para transportar * Cierre de seguridad * Pico de silicona</t>
  </si>
  <si>
    <t>VENTILADOR PORTÁTIL F13</t>
  </si>
  <si>
    <t>H:\OneDrive\TRABAJOS\TAO Accesorios\web reina\imagenes\VENTILADOR_PORTÁTIL_F13.jpg</t>
  </si>
  <si>
    <t>https://reinaelectronica.com.ar/producto/ventilador-portatil-f13/</t>
  </si>
  <si>
    <t>° Tres velocidades ° Rotación libre 180° ° Iluminación ambiental colorida ° Batería recargable ° Bajo nivel de ruido, fuerte potencia y y ahorro de energía! ° Varios colores disponibles</t>
  </si>
  <si>
    <t>VENTILADOR PORTÁTIL FX918</t>
  </si>
  <si>
    <t>H:\OneDrive\TRABAJOS\TAO Accesorios\web reina\imagenes\VENTILADOR_PORTÁTIL_FX918.jpg</t>
  </si>
  <si>
    <t>https://reinaelectronica.com.ar/producto/ventilador-portatil-fx918/</t>
  </si>
  <si>
    <t>° Velocidad y oscilación del viento ajustable ° 3 velocidades ° Función de pulverización de 2 velocidades ° Diseño ultra cómodo y portátil: Puede transportarlo y moverlo fácilmente ° Ahorro de energía y protección del medio ambiente ° Fuente de alimentación: USB – Tipo C ° Disponible en color blanco, rosa y celeste pastel</t>
  </si>
  <si>
    <t>VENTILADOR DE MANO MINI</t>
  </si>
  <si>
    <t>H:\OneDrive\TRABAJOS\TAO Accesorios\web reina\imagenes\VENTILADOR_DE_MANO_MINI.png</t>
  </si>
  <si>
    <t>https://reinaelectronica.com.ar/producto/ventilador-de-mano-mini/</t>
  </si>
  <si>
    <t>RELOJ DIGITAL NA-6091</t>
  </si>
  <si>
    <t>H:\OneDrive\TRABAJOS\TAO Accesorios\web reina\imagenes\RELOJ_DIGITAL_NA6091.png</t>
  </si>
  <si>
    <t>https://reinaelectronica.com.ar/producto/reloj-digital-na-6091/</t>
  </si>
  <si>
    <t>•Voltaje: 220V •Fabricado en plástico. •Tipo de alimentación: USB. •2 niveles de luz.</t>
  </si>
  <si>
    <t>RELOJ DESPERTADOR DIGITAL CUBO LED</t>
  </si>
  <si>
    <t>H:\OneDrive\TRABAJOS\TAO Accesorios\catalogo maestro\imagen\RELOJ DESPERTADOR DIGITAL CUBO LED.jpg</t>
  </si>
  <si>
    <t>PILAS ORYX AA X4</t>
  </si>
  <si>
    <t>H:\OneDrive\TRABAJOS\TAO Accesorios\web reina\imagenes\PILAS_ORYX_AA_X4.jpg</t>
  </si>
  <si>
    <t>https://reinaelectronica.com.ar/producto/pilas-oryx-aa-x4/</t>
  </si>
  <si>
    <t>PILAS ORYX AAA X4</t>
  </si>
  <si>
    <t>H:\OneDrive\TRABAJOS\TAO Accesorios\web reina\imagenes\PILAS_ORYX_AAA_X4.jpg</t>
  </si>
  <si>
    <t>https://reinaelectronica.com.ar/producto/pilas-oryx-aaa-x4/</t>
  </si>
  <si>
    <t>PILAS REDONDAS CR2032 X 5</t>
  </si>
  <si>
    <t>H:\OneDrive\TRABAJOS\TAO Accesorios\catalogo maestro\imagen\PILAS REDONDAS CR2032 X 5.jpg</t>
  </si>
  <si>
    <t>CONTROL DE AIRE SUONO HOG0031</t>
  </si>
  <si>
    <t>H:\OneDrive\TRABAJOS\TAO Accesorios\web reina\imagenes\CONTROL_DE_AIRE_SUONO_HOG0031.jpg</t>
  </si>
  <si>
    <t>https://reinaelectronica.com.ar/producto/control-de-aire-suono-hog0031/</t>
  </si>
  <si>
    <t>TIMBRE CON PILAS 9610DC</t>
  </si>
  <si>
    <t>H:\OneDrive\TRABAJOS\TAO Accesorios\web reina\imagenes\TIMBRE_CON_PILAS_9610DC.jpg</t>
  </si>
  <si>
    <t>https://reinaelectronica.com.ar/producto/timbre-con-pilas-9610dc/</t>
  </si>
  <si>
    <t>ºAlcance 100 Metros. ºNo necesita cable. ºLuz led encendido. ºResistente al agua. º38 Melodías. ºEl pulsador utiliza una pila 23A (INCLUIDA). ºEl receptor utiliza dos pilas AA(NO INCLUIDA)</t>
  </si>
  <si>
    <t>ADAPTADOR 2 PATAS</t>
  </si>
  <si>
    <t>H:\OneDrive\TRABAJOS\TAO Accesorios\catalogo maestro\imagen\adaptador-multiple-a-2-patas-oblicua.jpg</t>
  </si>
  <si>
    <t>CONTROL REMOTO UNIVERSAL</t>
  </si>
  <si>
    <t>H:\OneDrive\TRABAJOS\TAO Accesorios\catalogo maestro\imagen\CONTROL UNIVERSAL SMART.jpg</t>
  </si>
  <si>
    <t>RAQUETA MATAMOSQUITO CX-034/MKL-4998</t>
  </si>
  <si>
    <t>H:\OneDrive\TRABAJOS\TAO Accesorios\web reina\imagenes\RAQUETA_MATAMOSQUITO_CX034MKL4998.jpg</t>
  </si>
  <si>
    <t>https://reinaelectronica.com.ar/producto/raqueta-matamosquito-cx-034-mkl-4998/</t>
  </si>
  <si>
    <t>° Recargable USB ° Voltaje de descarga 12V ° Triple malla que garantiza la eliminación de cualquier insecto que se cruce en su camino</t>
  </si>
  <si>
    <t>LAMPARA MATAMOSQUITO Y13</t>
  </si>
  <si>
    <t>H:\OneDrive\TRABAJOS\TAO Accesorios\web reina\imagenes\LAMPARA_MATAMOSQUITO_Y13.jpg</t>
  </si>
  <si>
    <t>https://reinaelectronica.com.ar/producto/lampara-matamosquito-y13/</t>
  </si>
  <si>
    <t>° Diseño novedoso con tirante para colgar y colocar en cualquier lugar ° Tamaño compacto: 20x 26x 3.5 cm ° Tecnología LED UV que atrapa a los mosquitos y zancudos ° Caja de almacenamiento para los mosquitos ° Batería recargable tipo C ° Práctico, pequeño y portátil ° Disponible en color negro, violeta y blanco</t>
  </si>
  <si>
    <t>CANDADO DE BRONCE 38MM</t>
  </si>
  <si>
    <t>H:\OneDrive\TRABAJOS\TAO Accesorios\web reina\imagenes\CANDADO_DE_BRONCE_38MM.png</t>
  </si>
  <si>
    <t>https://reinaelectronica.com.ar/producto/candado-de-bronce-38mm/</t>
  </si>
  <si>
    <t>•Material: Cuerpo de Hierro Bronceado + Arco de acero niquelado. •incluye un candado con 3 copias de llave.</t>
  </si>
  <si>
    <t>INFLADOR MULTIUSO BOQUILLA INTERCAMBIABLE</t>
  </si>
  <si>
    <t>H:\OneDrive\TRABAJOS\TAO Accesorios\web reina\imagenes\INFLADOR_MULTIUSO_BOQUILLA_INTERCAMBIABLE.jpg</t>
  </si>
  <si>
    <t>https://reinaelectronica.com.ar/producto/inflador-multiuso-boquilla-intercambiabl/</t>
  </si>
  <si>
    <t>° Doble válvula: Plástico y aluminio ° Pico Inflables y por ° Cuerpo de aluminio y manguera flexible ° Soporte incluído para sujetar al caño de la bici ° Medidas: 30 cm. de largo x 3 cm. de diametro aprox</t>
  </si>
  <si>
    <t>LINGA ANCHI 1.2M AV24244-1</t>
  </si>
  <si>
    <t>H:\OneDrive\TRABAJOS\TAO Accesorios\web reina\imagenes\LINGA_ANCHI_12M_AV242441.jpg</t>
  </si>
  <si>
    <t>https://reinaelectronica.com.ar/producto/linga-anchi-1-2m-av24244-1/</t>
  </si>
  <si>
    <t>Incluye dos juegos de llaves  1.2M de largo</t>
  </si>
  <si>
    <t>MOPA CON BALDE CENTRIFUGADOR 2 EN 1</t>
  </si>
  <si>
    <t>H:\OneDrive\TRABAJOS\TAO Accesorios\web reina\imagenes\MOPA_CON_BALDE_CENTRIFUGADOR_2_EN_1.png</t>
  </si>
  <si>
    <t>https://reinaelectronica.com.ar/producto/mopa-con-balde-centrifugador-2-en-1/</t>
  </si>
  <si>
    <t>CANDADOS DE BRONCE 50 MM</t>
  </si>
  <si>
    <t>H:\OneDrive\TRABAJOS\TAO Accesorios\catalogo maestro\imagen\CANDADOS DE BRONCE 32MM.jpg</t>
  </si>
  <si>
    <t>LUZ PARA BICI RECARGABLE BLANCA/ROJA</t>
  </si>
  <si>
    <t>H:\OneDrive\TRABAJOS\TAO Accesorios\web reina\imagenes\LUZ_PARA_BICI_RECARGABLE_BLANCAROJA.png</t>
  </si>
  <si>
    <t>https://reinaelectronica.com.ar/producto/luz-para-bici-recargable-blanca-roja/</t>
  </si>
  <si>
    <t>COMPRESOR DE AIRE ELECTRICO CZK-3668</t>
  </si>
  <si>
    <t>H:\OneDrive\TRABAJOS\TAO Accesorios\web reina\imagenes\COMPRESOR_DE_AIRE_ELECTRICO_CZK3668.png</t>
  </si>
  <si>
    <t>https://reinaelectronica.com.ar/producto/compresor-de-aire-electrico-czk-3668/</t>
  </si>
  <si>
    <t>•Potencia 50W •Presión máxima 150 psi •4 modos de inflado preestablecidos •4 unidades de medición de presión a elegir: PSI, KPA, BAR Y KG/CM2 •Con control de valor de presión + y – •Pantalla LED y linterna incluida •Batería recargable •Incluye boquillas adicionales para mayor versatilidad</t>
  </si>
  <si>
    <t>COMPRESOR DE AIRE ELÉCTRICO SEIS</t>
  </si>
  <si>
    <t>H:\OneDrive\TRABAJOS\TAO Accesorios\web reina\imagenes\COMPRESOR_DE_AIRE_ELÉCTRICO_SEIS.png</t>
  </si>
  <si>
    <t>https://reinaelectronica.com.ar/producto/compresor-de-aire-electrico-seis/</t>
  </si>
  <si>
    <t>COMPRESOR DE AIRE  JK4162</t>
  </si>
  <si>
    <t>H:\OneDrive\TRABAJOS\TAO Accesorios\catalogo maestro\imagen\COMPRESOR DE AIRE  JK4162.jpg</t>
  </si>
  <si>
    <t>ASPIRADORA INALAMBRICA ORYX OR-VC500</t>
  </si>
  <si>
    <t>H:\OneDrive\TRABAJOS\TAO Accesorios\web reina\imagenes\ASPIRADORA_INALAMBRICA_ORYX_ORVC500.png</t>
  </si>
  <si>
    <t>https://reinaelectronica.com.ar/producto/aspiradora-inalambrica-oryx-or-vc500/</t>
  </si>
  <si>
    <t>SOPLADOR INALAMBRICO OR-WB01 500W</t>
  </si>
  <si>
    <t>H:\OneDrive\TRABAJOS\TAO Accesorios\web reina\imagenes\SOPLADOR_INALAMBRICO_ORWB01_500W.jpg</t>
  </si>
  <si>
    <t>https://reinaelectronica.com.ar/producto/soplador-inalambrico-or-wb01-500w/</t>
  </si>
  <si>
    <t>° Potencia de 500w ° RPM 33000 ° Recargable ° Batería de litio 2600 mAh ° Incluye cargador, manual y maletín.</t>
  </si>
  <si>
    <t>SOPLADOR PORTÁTIL SUONO</t>
  </si>
  <si>
    <t>H:\OneDrive\TRABAJOS\TAO Accesorios\web reina\imagenes\SOPLADOR_PORTÁTIL_SUONO.png</t>
  </si>
  <si>
    <t>https://reinaelectronica.com.ar/producto/soplador-portatil-suono/</t>
  </si>
  <si>
    <t>CINTA AISLADORA</t>
  </si>
  <si>
    <t>H:\OneDrive\TRABAJOS\TAO Accesorios\web reina\imagenes\CINTA_AISLADORA.png</t>
  </si>
  <si>
    <t>https://reinaelectronica.com.ar/producto/cinta-aisladora/</t>
  </si>
  <si>
    <t>AMOLADORA ANGULAR ORYX OR-AG115 780W</t>
  </si>
  <si>
    <t>H:\OneDrive\TRABAJOS\TAO Accesorios\web reina\imagenes\AMOLADORA_ANGULAR_ORYX_ORAG115_780W.png</t>
  </si>
  <si>
    <t>https://reinaelectronica.com.ar/producto/amoladora-angular-oryx-or-ag115-780w/</t>
  </si>
  <si>
    <t>•Potencia: 780W •Velocidad sin carga: 11,000 rpm •Diámetro del disco: 115 mm •Pesa 1.8 kg •Rosca del Eje M14 •Diametro de apertura de Disco 22mm •Velocidad de Rotacion sin Carga 2.300-11.000 RPM •Longitud del Cable 1.8 Mts •Incluye Mango Ergonomico •Incluye Llave de Ajuste de Disco •Medidas Aproximadas 31.5 x 9.5 x 7 CM</t>
  </si>
  <si>
    <t>ATORNILLADORA ELECTRICA KANJI</t>
  </si>
  <si>
    <t>H:\OneDrive\TRABAJOS\TAO Accesorios\web reina\imagenes\ATORNILLADORA_ELECTRICA_KANJI.png</t>
  </si>
  <si>
    <t>https://reinaelectronica.com.ar/producto/atornilladora-electrica-kanji/</t>
  </si>
  <si>
    <t>CAJA DE HERRAMIENTAS 85 PCS ORYX</t>
  </si>
  <si>
    <t>H:\OneDrive\TRABAJOS\TAO Accesorios\web reina\imagenes\CAJA_DE_HERRAMIENTAS_85_PCS_ORYX.png</t>
  </si>
  <si>
    <t>https://reinaelectronica.com.ar/producto/caja-de-herramientas-85-pcs-oryx/</t>
  </si>
  <si>
    <t>HIDROLAVADORA 1200W ORYX</t>
  </si>
  <si>
    <t>H:\OneDrive\TRABAJOS\TAO Accesorios\web reina\imagenes\HIDROLAVADORA_1200W_ORYX.png</t>
  </si>
  <si>
    <t>https://reinaelectronica.com.ar/producto/hidrolavadora-1200w-oryx/</t>
  </si>
  <si>
    <t>HIDROLAVADORA INALÁMBRICA ORYX EL677</t>
  </si>
  <si>
    <t>H:\OneDrive\TRABAJOS\TAO Accesorios\web reina\imagenes\HIDROLAVADORA_INALÁMBRICA_ORYX_EL677.jpg</t>
  </si>
  <si>
    <t>https://reinaelectronica.com.ar/producto/hidrolavadora-inalambrica-oryx-el677/</t>
  </si>
  <si>
    <t>° Batería recargable ° Manguera de agua incluída ° Dosificador de detergente incorporado para potenciar el rendimiento de limpieza ° Diseñada para poder utilizar distintos tipos de chorros con el fin de profundizar el lavado ° Incluye accesorios</t>
  </si>
  <si>
    <t>LLAVE TUBO 216 PCS OR-394</t>
  </si>
  <si>
    <t>H:\OneDrive\TRABAJOS\TAO Accesorios\web reina\imagenes\LLAVE_TUBO_216_PCS_OR394.jpg</t>
  </si>
  <si>
    <t>https://reinaelectronica.com.ar/producto/llave-tubo-216-pcs-or-394/</t>
  </si>
  <si>
    <t>INCLUYE: Encastre 1/2?: 14 Tubos: 13, 14, 15, 16, 17, 18, 19, 20, 21, 22, 24, 27, 30, 32mm 5 Tubos Largos: 16, 17, 18, 19, 22mm 2 Barras de Extension: 5? y 10? de largo. 1 Mov. Universal 1/2? 1 Mango Trinquete 1/2? 3 Tubos Torx E20, 22, 24. 2 Tubos Saca Bujias 16, 21mm 2 Tubos Torx T55, T60 1 Porta Puntas 1 Adaptador 3 vias  Encastre 1/4? 13 Tubos: 4, 5, 5.5, 6, 7, 8, 9, 10, 11, 12, 13, 14mm 7 Tubos Largos: 4, 5, 6, 7, 8, 9, 10mm 2 Barras de Extensión 2? y 4? 1 Movimiento Universal 1 Mango Trinquete 5 Tubos Torx E4, 5, 6, 7, 8MM 1 Barra Deslizante T. 1 Mango Tipo Destornillador para tubos. 1 Porta Puntas 1 Mango Girador para puntas 44 Puntas T8, 9, 10, 15, 20, 25, 27, 30, 35, 40, 45; TT8, 9, 10, 15, 20, 25, 27, 30, 35, 40, 45; H3, 4, 5, 6, 7; PZ1, 2, 2; PH1, 2, 3; SL 3, 4, 5.5, 6, 7. 30 Tubos c/punta PZ 1, 2, 3; PH 1, 2, 3; FD 4, 5.5, 7; H 2, 3, 4, 5, 6; T8, 9, 10, 15, 20, 25, 27, 30; TT8, 9, 10, 15, 20, 25, 27, 30  Encastre3/8?: 10 Tubos: 10, 11, 12, 13, 14, 15, 16, 17, 18, 19mm 6 Tubos Largos: 10, 11, 12, 13, 14, 15mm 1 Barra de extensión: 6? 1 Movimiento Universal. 1 Mango Trinquete. 6 Tubos Torx: E10, 11, 12, 14, 16, 18mm 1 Tubo saca bujias 30 Puntas (8mm): H5, 6, 7, 8, 10; FD 6, 6.5, 8; H3, 4; HZ 3, 4; M 5, 6, 8; T25, 27, 30, 35, 40, 45, 50; TT25, 27, 30, 35, 40, 45, 50.  12 Llaves combinadas Boca/Estría: 8, 9, 10, 11, 12, 13, 14, 15, 16, 17, 18, 19mm 7 Llaves Alem Hexagonales 1.5, 2, 2.5, 3, 4, 5, 6mm 1 Adaptador de 3/8 a 1/4? 1 Maletín alto-impacto para transporte.</t>
  </si>
  <si>
    <t>LLAVE TUBO K1073 52 PCS ZHONGXIN</t>
  </si>
  <si>
    <t>H:\OneDrive\TRABAJOS\TAO Accesorios\web reina\imagenes\LLAVE_TUBO_K1073_52_PCS_ZHONGXIN.png</t>
  </si>
  <si>
    <t>https://reinaelectronica.com.ar/producto/llave-tubo-k1073-52-pcs-zhongxin/</t>
  </si>
  <si>
    <t>•1 Cricket Grande 1/2 (22 cm. de Largo) •1 Cricket Chico 3/8 (13 cm. de Largo) •1 Acople de Cricket 1/4 •Extensor 3/8 •Saca Bujía •Llave Fija tipo destornillador •Llaves tubo hexagonales de 1/4 •Llaves tubo hexagonales de 3/8 •Llaves tubo hexagonales de 1/2 •Llaves tubo hexagonales de 1/4 •Llaves tubo hexagonales de 3/8:en pulgadas •Con Maletín Plástico Rígido para transportar (20 cm. x 48 cm. x 6 cm.)</t>
  </si>
  <si>
    <t>LLAVE TUBO K24022 46 PCS CAJA ROJA</t>
  </si>
  <si>
    <t>H:\OneDrive\TRABAJOS\TAO Accesorios\web reina\imagenes\LLAVE_TUBO_K24022_46_PCS_CAJA_ROJA.png</t>
  </si>
  <si>
    <t>https://reinaelectronica.com.ar/producto/llave-tubo-k24022-46-pcs-caja-roja/</t>
  </si>
  <si>
    <t>•1 Llave Criquet •1 Destornillador •1 Palanca deslizable •Incluye 21 puntas de destornillador: •3 Puntas Planas •6 Puntas Hexagonales •3 Puntas Phillips •3 puntas Pozidriv •6 puntas Torx •13 llave tubo hexagonales •1 conexión cardan •1 Extension alargue •1 Extension alargue •1 Extensión alargue •3 Llave Allen •1 Adaptador de Cuadrado a Hexagonal de 1/4? •1 Estuche de mano organizador plástico PVC</t>
  </si>
  <si>
    <t>MALETIN DE HERRAMIENTAS KANJI 499 EN 1</t>
  </si>
  <si>
    <t>H:\OneDrive\TRABAJOS\TAO Accesorios\web reina\imagenes\MALETIN_DE_HERRAMIENTAS_KANJI_499_EN_1.jpg</t>
  </si>
  <si>
    <t>https://reinaelectronica.com.ar/producto/maletin-de-herramientas-kanji-499-en-1/</t>
  </si>
  <si>
    <t>Descripción del Set de Herramientas (499 piezas):  – Herramientas de sujeción y ajuste: 1 alicate de punta. 1 llave francesa. 1 llave ajustable pico de loro. 1 pinza de punta. 1 pinza. 9 llaves combinadas (8 a 17 mm).  – Destornilladores: 4 planos: 1.4 / 1.8 / 2.4 / 3.0 mm. 2 Philips: 2.4 / 3.0 mm. 5 planos: 4×100 mm / 5×75 mm / 6×38 mm / 6×100 mm. 5 Philips: 4×100 mm / 5×75 mm / 6×38 mm / 6×100 mm. 2 aislados Philips: 8×150 mm / 4×100 mm. 2 aislados planos: 4×100 mm / 5.5×125 mm. 14 destornilladores estándar. 6 destornilladores de precisión. 24 puntas para destornillador eléctrico. 1 mango adaptador para puntas. 1 porta puntas.  – Llaves y tubos: 9 llaves hexagonales Alem (1.5 a 10 mm). 15 llaves tubo de 1/4 (4 a 14 mm). 14 llaves tubo de 1/2 (8 a 30 mm). 2 conectores de llave tubo de 1/2 (16 y 21 mm). 2 juntas universales (1/2 y 1/4 ). 2 barras deslizantes en T (1/2 y 1/4 ). 1 barra de extensión de 1/2 (5 ). 2 barras de extensión de 1/2 (2 y 4 ). 1 extensor flexible de 1/4 . 1 mango giratorio de 1/4 (150 mm). 2 llaves de cricke (1/2 y 1/4 ).  – Accesorios adicionales: 1 medidor de presión para neumáticos. 1 Buscapolo 1 pinza pela cables. 1 pistola encoladora con 2 barras. 1 cortante. 1 nivel. 2 guantes de tela. 2 grampas de nylon (90 mm). 200 precintos. 172 cierres. 1 martillo. 1 tijera.</t>
  </si>
  <si>
    <t>MINI LLAVERO LINTERNA WS147</t>
  </si>
  <si>
    <t>H:\OneDrive\TRABAJOS\TAO Accesorios\web reina\imagenes\MINI_LLAVERO_LINTERNA_WS147.png</t>
  </si>
  <si>
    <t>https://reinaelectronica.com.ar/producto/mini-llavero-linterna-ws147/</t>
  </si>
  <si>
    <t>PISTOLA DE PINTAR</t>
  </si>
  <si>
    <t>H:\OneDrive\TRABAJOS\TAO Accesorios\web reina\imagenes\PISTOLA_DE_PINTAR.png</t>
  </si>
  <si>
    <t>https://reinaelectronica.com.ar/producto/pistola-de-pintar/</t>
  </si>
  <si>
    <t>ROTOMARTILLO ORYX OR-502 850W</t>
  </si>
  <si>
    <t>H:\OneDrive\TRABAJOS\TAO Accesorios\web reina\imagenes\ROTOMARTILLO_ORYX_OR502_850W.png</t>
  </si>
  <si>
    <t>https://reinaelectronica.com.ar/producto/rotomartillo-oryx-or-502-850w/</t>
  </si>
  <si>
    <t>•Potencia: 850W. •1050/MIN (RPM). •Barra de profundidad. •Mechas de 12, 10 9 y 8. •Energía de impacto: 3.2 J. •Cincel punta y cincel plano. •Incluye maletín de guardado. •Nivele sonoro de 91 db(A) a 104 db(A). •Ideal para hacer cualquier tipo de trabajo. •Perfora: Hormigón: 26mm /Madera 30 mm /Acero: 13 mm.</t>
  </si>
  <si>
    <t>SET AMOLADORA+TALADRO ORYX OR-A125/508</t>
  </si>
  <si>
    <t>H:\OneDrive\TRABAJOS\TAO Accesorios\web reina\imagenes\SET_AMOLADORATALADRO_ORYX_ORA125508.png</t>
  </si>
  <si>
    <t>https://reinaelectronica.com.ar/producto/set-amoladorataladro-oryx-or-a125-508/</t>
  </si>
  <si>
    <t>Características del taladro: •Potencia: 850W. •Diseño liviano, cómodo y fácil de manejar. •Funciona como percutor y también como destornillador con su respectiva punta al ser de velocidad variable. •Capacidad de perforación: Acero 10mm, Concreto 13mm, Madera 25mm. •Contiene botón «Lock-ON» que permite un funcionamiento continuo a máximas RPM sin mantener el gatillo presionado.  Características de la amoladora: •Compatible con discos de 115mm ideal para trabajos precisos. •Velocidad máxima de rotación 11.000RPM. •Botón de bloqueo de disco. •Incluye accesorios. •Potencia: 780w.</t>
  </si>
  <si>
    <t>SET DE DESTORNILLADOR X2 SCREWDRIVER</t>
  </si>
  <si>
    <t>H:\OneDrive\TRABAJOS\TAO Accesorios\web reina\imagenes\SET_DE_DESTORNILLADOR_X2_SCREWDRIVER.jpg</t>
  </si>
  <si>
    <t>https://reinaelectronica.com.ar/producto/set-de-destornillador-x2-screwdriver/</t>
  </si>
  <si>
    <t>Set juego de destornilladores de 2 unidades con soporte para guardar y colgar de silicona. 1 punta plana y 1 punta cruz tipo phillips. Mango de goma antideslizante para un mejor agarre. Tiene agujero para colgar. Punta imantada para mejor precision y que no se pierdan los tornillos chicos. Kit x2 presentacion en soporte. Medidas del destornillador: Largo: 19,5 cm (mango 10,5 cm, punta 9 cm), Ancho: 3 cm (punta: 0,5 cm).</t>
  </si>
  <si>
    <t>SET DE DESTORNILLADOR X7 PIEZAS AZUL</t>
  </si>
  <si>
    <t>H:\OneDrive\TRABAJOS\TAO Accesorios\web reina\imagenes\SET_DE_DESTORNILLADOR_X7_PIEZAS_AZUL.png</t>
  </si>
  <si>
    <t>https://reinaelectronica.com.ar/producto/set-de-destornillador-x7-piezas-azul/</t>
  </si>
  <si>
    <t>•Mango de goma antiresbalante y punta imantada. •3 destornilladores de punta Phillips. •4 destornilladores de punta Plana. •Contiene: •Destornillador Phillips de 16.5 cm de alto. •Destornillador Phillips de 20.5 cm de alto. •Destornillador Phillips de 16.5 cm de alto. •Destornillador Plano/pala 16.5 cm de alto. •Destornillador Plano/pala 20.5 cm de alto. •Destornillador Plano/pala 16.5 cm de alto. •Mango ergonómico y antiresbalante. •Punta imantada. •Barra cromada •Mango reforzado para resistir golpes. •De fácil y practica portabilidad. •Perfecto para uso domestico</t>
  </si>
  <si>
    <t>SET DE HERRAMIENTAS X40 PCS LEGATUS</t>
  </si>
  <si>
    <t>H:\OneDrive\TRABAJOS\TAO Accesorios\web reina\imagenes\SET_DE_HERRAMIENTAS_X40_PCS_LEGATUS.png</t>
  </si>
  <si>
    <t>https://reinaelectronica.com.ar/producto/set-de-herramientas-x40-pcs-legatus/</t>
  </si>
  <si>
    <t>SET DE HERRAMIENTAS X46 PCS LEGATUS</t>
  </si>
  <si>
    <t>H:\OneDrive\TRABAJOS\TAO Accesorios\web reina\imagenes\SET_DE_HERRAMIENTAS_X46_PCS_LEGATUS.png</t>
  </si>
  <si>
    <t>https://reinaelectronica.com.ar/producto/set-de-herramientas-x46-pcs-legatus/</t>
  </si>
  <si>
    <t>SET JUEGO DE LLAVES TUBOS 108 PCS ORYX</t>
  </si>
  <si>
    <t>H:\OneDrive\TRABAJOS\TAO Accesorios\web reina\imagenes\SET_JUEGO_DE_LLAVES_TUBOS_108_PCS_ORYX.jpg</t>
  </si>
  <si>
    <t>https://reinaelectronica.com.ar/producto/set-juego-de-llaves-tubos-108-pcs-oryx/</t>
  </si>
  <si>
    <t>° Material: Acero ° Acabado de la llave: Cromado ° Llave de apriete fija ° Tubos 1/4? y 1/2? ° Mangos antideslizantes ° Maletín de plástico con doble traba ° 108 piezas ° Diseño ergonómico</t>
  </si>
  <si>
    <t>SET TORNO OR-TOR01 ORYX</t>
  </si>
  <si>
    <t>H:\OneDrive\TRABAJOS\TAO Accesorios\web reina\imagenes\SET_TORNO_ORTOR01_ORYX.png</t>
  </si>
  <si>
    <t>https://reinaelectronica.com.ar/producto/set-torno-or-tor01-oryx/</t>
  </si>
  <si>
    <t>SIERRA CIRCULAR 1500W CSL1500-8</t>
  </si>
  <si>
    <t>H:\OneDrive\TRABAJOS\TAO Accesorios\web reina\imagenes\SIERRA_CIRCULAR_1500W_CSL15008.png</t>
  </si>
  <si>
    <t>https://reinaelectronica.com.ar/producto/sierra-circular-1500w-csl1500-8/</t>
  </si>
  <si>
    <t>•Potencia absorbida 1,500 W. •Velocidad 5500 rpm. •Peso 4,4kg. •Dicos de sierra 7/4” 184mm •Capacidad de corte a 90° 64cm. •Capacidad de corte a 45° 45cm. •Liviana y compacta en su categoría. •Facilidad en el transporte y mayor comodidad durante la aplicación. •Guarda de protección inferior proyectada para proporcionar cortes fáciles y suaves. •Eficiente sistema de remoción de astillas.</t>
  </si>
  <si>
    <t>SIERRA CIRCULAR ELECTRICA ORYX OR-1409</t>
  </si>
  <si>
    <t>H:\OneDrive\TRABAJOS\TAO Accesorios\web reina\imagenes\SIERRA_CIRCULAR_ELECTRICA_ORYX_OR1409.png</t>
  </si>
  <si>
    <t>https://reinaelectronica.com.ar/producto/sierra-circular-electrica-oryx-or-1409/</t>
  </si>
  <si>
    <t>•Velocidad de 4500RPM •Diámetro de 185mm •Incluye disco, llave de ajuste y guia paralela •Agarre seguro y cómodo •Alta potencia •Sierra con 40 dientes</t>
  </si>
  <si>
    <t>TALADRO DE IMPACTO ORYX OR0750 750W</t>
  </si>
  <si>
    <t>H:\OneDrive\TRABAJOS\TAO Accesorios\web reina\imagenes\TALADRO_DE_IMPACTO_ORYX_OR0750_750W.png</t>
  </si>
  <si>
    <t>https://reinaelectronica.com.ar/producto/taladro-de-impacto-oryx-or0750-750w/</t>
  </si>
  <si>
    <t>•Voltaje: 21vCC •Mandril: 0.4? (10mm) •Cargador de batería •Entrada: 100-240Vca; 50Hz/60Hz; 1.5A; •Salida: 21Vcc; 1A •Incluye: •Maletín •Taladro Inalámbrico •2 Baterías 21V •6 Puntas Destornillador •6 Mechas •9 Tubos Hex (4-5-5.5-6-7-8-9-10-12mm) •Eje Flexible •Cargador</t>
  </si>
  <si>
    <t>PINZA UNIVERSAL 8″MANGO NAEANJA C/NEGRO</t>
  </si>
  <si>
    <t>PISTOLA DE SILICONA KANJI 20W</t>
  </si>
  <si>
    <t>https://reinaelectronica.com.ar/producto/pistola-de-silicona-kanji-20w/</t>
  </si>
  <si>
    <t>TIJERA PARA PODAR 8′ PRUNER</t>
  </si>
  <si>
    <t>H:\OneDrive\TRABAJOS\TAO Accesorios\web reina\imagenes\TIJERA_PARA_PODAR_8_PRUNER.png</t>
  </si>
  <si>
    <t>https://reinaelectronica.com.ar/producto/tijera-para-podar-8-pruner/</t>
  </si>
  <si>
    <t>9-9</t>
  </si>
  <si>
    <t>NUEVO INGRESO!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</si>
</sst>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5" formatCode="&quot;$&quot;\ #,##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
      <sz val="11"/>
      <color rgb="FF0070C0"/>
      <name val="Aptos Narrow"/>
      <family val="2"/>
      <scheme val="minor"/>
    </font>
    <font>
      <sz val="11"/>
      <name val="Aptos Narrow"/>
      <family val="2"/>
      <scheme val="minor"/>
    </font>
    <font>
      <b/>
      <sz val="11"/>
      <name val="Aptos Narrow"/>
      <family val="2"/>
      <scheme val="minor"/>
    </font>
    <font>
      <sz val="11"/>
      <color rgb="FF00B050"/>
      <name val="Aptos Narrow"/>
      <family val="2"/>
      <scheme val="minor"/>
    </font>
    <font>
      <sz val="11"/>
      <color theme="5"/>
      <name val="Aptos Narrow"/>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rgb="FFFFC000"/>
        <bgColor indexed="64"/>
      </patternFill>
    </fill>
    <fill>
      <patternFill patternType="solid">
        <fgColor theme="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xf numFmtId="9" fontId="1" fillId="0" borderId="0"/>
  </cellStyleXfs>
  <cellXfs count="74">
    <xf numFmtId="0" fontId="0" fillId="0" borderId="0" xfId="0"/>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wrapText="1"/>
    </xf>
    <xf numFmtId="0" fontId="0" fillId="0" borderId="0" xfId="0" applyAlignment="1">
      <alignment horizontal="center"/>
    </xf>
    <xf numFmtId="0" fontId="4" fillId="0" borderId="1" xfId="0" applyFont="1" applyBorder="1" applyAlignment="1">
      <alignment horizontal="center"/>
    </xf>
    <xf numFmtId="0" fontId="4" fillId="0" borderId="1" xfId="0" applyFont="1" applyBorder="1"/>
    <xf numFmtId="164" fontId="3" fillId="0" borderId="1" xfId="1" applyNumberFormat="1" applyFont="1" applyBorder="1" applyAlignment="1">
      <alignment horizontal="center"/>
    </xf>
    <xf numFmtId="0" fontId="3" fillId="0" borderId="1" xfId="0" applyFont="1" applyBorder="1" applyAlignment="1">
      <alignment horizontal="center"/>
    </xf>
    <xf numFmtId="0" fontId="3" fillId="0" borderId="1" xfId="0" applyFont="1" applyBorder="1"/>
    <xf numFmtId="0" fontId="5" fillId="0" borderId="1" xfId="0" applyFont="1" applyBorder="1" applyAlignment="1">
      <alignment horizontal="center"/>
    </xf>
    <xf numFmtId="164" fontId="5" fillId="0" borderId="1" xfId="1" applyNumberFormat="1" applyFont="1" applyBorder="1" applyAlignment="1">
      <alignment horizontal="center"/>
    </xf>
    <xf numFmtId="0" fontId="5" fillId="0" borderId="1" xfId="0" applyFont="1" applyBorder="1"/>
    <xf numFmtId="9" fontId="5" fillId="0" borderId="1" xfId="2" applyFont="1" applyBorder="1" applyAlignment="1">
      <alignment horizontal="center"/>
    </xf>
    <xf numFmtId="164" fontId="3" fillId="0" borderId="1" xfId="0" applyNumberFormat="1" applyFont="1" applyBorder="1" applyAlignment="1">
      <alignment horizontal="center"/>
    </xf>
    <xf numFmtId="9" fontId="3" fillId="0" borderId="1" xfId="2" applyFont="1" applyBorder="1" applyAlignment="1">
      <alignment horizontal="center"/>
    </xf>
    <xf numFmtId="0" fontId="6" fillId="0" borderId="1" xfId="0" applyFont="1" applyBorder="1" applyAlignment="1">
      <alignment horizontal="center"/>
    </xf>
    <xf numFmtId="0" fontId="6" fillId="0" borderId="1" xfId="0" applyFont="1" applyBorder="1"/>
    <xf numFmtId="0" fontId="6" fillId="2" borderId="1"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5" fillId="0" borderId="0" xfId="0" applyFont="1"/>
    <xf numFmtId="0" fontId="6" fillId="5" borderId="1" xfId="0" applyFont="1" applyFill="1" applyBorder="1" applyAlignment="1">
      <alignment horizontal="center"/>
    </xf>
    <xf numFmtId="164" fontId="6" fillId="5" borderId="1" xfId="1" applyNumberFormat="1" applyFont="1" applyFill="1" applyBorder="1" applyAlignment="1">
      <alignment horizontal="center"/>
    </xf>
    <xf numFmtId="49" fontId="6" fillId="5" borderId="1" xfId="0" applyNumberFormat="1" applyFont="1" applyFill="1" applyBorder="1"/>
    <xf numFmtId="164" fontId="0" fillId="0" borderId="0" xfId="1" applyNumberFormat="1" applyFont="1" applyAlignment="1">
      <alignment horizontal="center"/>
    </xf>
    <xf numFmtId="164" fontId="6" fillId="0" borderId="1" xfId="1" applyNumberFormat="1" applyFont="1" applyBorder="1" applyAlignment="1">
      <alignment horizontal="center"/>
    </xf>
    <xf numFmtId="164" fontId="6" fillId="5" borderId="1" xfId="1" applyNumberFormat="1" applyFont="1" applyFill="1" applyBorder="1" applyAlignment="1">
      <alignment horizontal="center" vertical="center"/>
    </xf>
    <xf numFmtId="49" fontId="6" fillId="5" borderId="1" xfId="0" applyNumberFormat="1" applyFont="1" applyFill="1" applyBorder="1" applyAlignment="1">
      <alignment horizontal="center"/>
    </xf>
    <xf numFmtId="164" fontId="4" fillId="0" borderId="1" xfId="1" applyNumberFormat="1" applyFont="1" applyBorder="1" applyAlignment="1">
      <alignment horizontal="center"/>
    </xf>
    <xf numFmtId="49" fontId="4" fillId="0" borderId="1" xfId="0" applyNumberFormat="1" applyFont="1" applyBorder="1"/>
    <xf numFmtId="9" fontId="4" fillId="6" borderId="1" xfId="2" applyFont="1" applyFill="1" applyBorder="1" applyAlignment="1">
      <alignment horizontal="center"/>
    </xf>
    <xf numFmtId="164" fontId="4" fillId="0" borderId="1" xfId="1" applyNumberFormat="1" applyFont="1" applyBorder="1" applyAlignment="1">
      <alignment horizontal="center" vertical="center"/>
    </xf>
    <xf numFmtId="9" fontId="4" fillId="0" borderId="1" xfId="2" applyFont="1" applyBorder="1" applyAlignment="1">
      <alignment horizontal="center"/>
    </xf>
    <xf numFmtId="9" fontId="4" fillId="7" borderId="1" xfId="2" applyFont="1" applyFill="1" applyBorder="1" applyAlignment="1">
      <alignment horizontal="center"/>
    </xf>
    <xf numFmtId="0" fontId="4" fillId="0" borderId="0" xfId="0" applyFont="1"/>
    <xf numFmtId="0" fontId="7" fillId="0" borderId="1" xfId="0" applyFont="1" applyBorder="1"/>
    <xf numFmtId="0" fontId="7" fillId="0" borderId="1" xfId="0" applyFont="1" applyBorder="1" applyAlignment="1">
      <alignment horizontal="center"/>
    </xf>
    <xf numFmtId="164" fontId="7" fillId="0" borderId="1" xfId="1" applyNumberFormat="1" applyFont="1" applyBorder="1" applyAlignment="1">
      <alignment horizontal="center"/>
    </xf>
    <xf numFmtId="165" fontId="6" fillId="0" borderId="1" xfId="1" applyNumberFormat="1" applyFont="1" applyBorder="1" applyAlignment="1">
      <alignment horizontal="center"/>
    </xf>
    <xf numFmtId="165" fontId="5" fillId="0" borderId="1" xfId="1" applyNumberFormat="1" applyFont="1" applyBorder="1" applyAlignment="1">
      <alignment horizontal="center"/>
    </xf>
    <xf numFmtId="165" fontId="4" fillId="0" borderId="1" xfId="1" applyNumberFormat="1" applyFont="1" applyBorder="1" applyAlignment="1">
      <alignment horizontal="center"/>
    </xf>
    <xf numFmtId="165" fontId="3" fillId="0" borderId="1" xfId="1" applyNumberFormat="1" applyFont="1" applyBorder="1" applyAlignment="1">
      <alignment horizontal="center"/>
    </xf>
    <xf numFmtId="165" fontId="0" fillId="0" borderId="0" xfId="1" applyNumberFormat="1" applyFont="1" applyAlignment="1">
      <alignment horizontal="center"/>
    </xf>
    <xf numFmtId="165" fontId="7" fillId="0" borderId="1" xfId="0" applyNumberFormat="1" applyFont="1" applyBorder="1" applyAlignment="1">
      <alignment horizontal="center"/>
    </xf>
    <xf numFmtId="9" fontId="7" fillId="0" borderId="1" xfId="2" applyFont="1" applyBorder="1" applyAlignment="1">
      <alignment horizontal="center"/>
    </xf>
    <xf numFmtId="164" fontId="7" fillId="0" borderId="1" xfId="1" applyNumberFormat="1" applyFont="1" applyBorder="1" applyAlignment="1">
      <alignment horizontal="center" vertical="center"/>
    </xf>
    <xf numFmtId="165" fontId="3" fillId="0" borderId="1" xfId="0" applyNumberFormat="1" applyFont="1" applyBorder="1" applyAlignment="1">
      <alignment horizontal="center"/>
    </xf>
    <xf numFmtId="164" fontId="3" fillId="0" borderId="1" xfId="1" applyNumberFormat="1" applyFont="1" applyBorder="1" applyAlignment="1">
      <alignment horizontal="center" vertical="center"/>
    </xf>
    <xf numFmtId="0" fontId="8" fillId="0" borderId="1" xfId="0" applyFont="1" applyBorder="1" applyAlignment="1">
      <alignment horizontal="center"/>
    </xf>
    <xf numFmtId="165" fontId="8" fillId="0" borderId="1" xfId="1" applyNumberFormat="1" applyFont="1" applyBorder="1" applyAlignment="1">
      <alignment horizontal="center"/>
    </xf>
    <xf numFmtId="164" fontId="8" fillId="0" borderId="1" xfId="1" applyNumberFormat="1" applyFont="1" applyBorder="1" applyAlignment="1">
      <alignment horizontal="center"/>
    </xf>
    <xf numFmtId="49" fontId="8" fillId="0" borderId="1" xfId="0" applyNumberFormat="1" applyFont="1" applyBorder="1"/>
    <xf numFmtId="9" fontId="8" fillId="0" borderId="1" xfId="2" applyFont="1" applyBorder="1" applyAlignment="1">
      <alignment horizontal="center"/>
    </xf>
    <xf numFmtId="164" fontId="8" fillId="0" borderId="1" xfId="1" applyNumberFormat="1" applyFont="1" applyBorder="1" applyAlignment="1">
      <alignment horizontal="center" vertical="center"/>
    </xf>
    <xf numFmtId="9" fontId="8" fillId="6" borderId="1" xfId="2" applyFont="1" applyFill="1" applyBorder="1" applyAlignment="1">
      <alignment horizontal="center"/>
    </xf>
    <xf numFmtId="0" fontId="8" fillId="0" borderId="1" xfId="0" applyFont="1" applyBorder="1"/>
    <xf numFmtId="165" fontId="6" fillId="2" borderId="1" xfId="0" applyNumberFormat="1" applyFont="1" applyFill="1" applyBorder="1" applyAlignment="1">
      <alignment horizontal="center"/>
    </xf>
    <xf numFmtId="165" fontId="5" fillId="0" borderId="1" xfId="0" applyNumberFormat="1" applyFont="1" applyBorder="1" applyAlignment="1">
      <alignment horizontal="center"/>
    </xf>
    <xf numFmtId="165" fontId="4" fillId="0" borderId="1" xfId="0" applyNumberFormat="1" applyFont="1" applyBorder="1" applyAlignment="1">
      <alignment horizontal="center"/>
    </xf>
    <xf numFmtId="165" fontId="8" fillId="0" borderId="1" xfId="0" applyNumberFormat="1" applyFont="1" applyBorder="1" applyAlignment="1">
      <alignment horizontal="center"/>
    </xf>
    <xf numFmtId="165" fontId="6" fillId="5" borderId="1" xfId="0" applyNumberFormat="1" applyFont="1" applyFill="1" applyBorder="1" applyAlignment="1">
      <alignment horizontal="center"/>
    </xf>
    <xf numFmtId="165" fontId="0" fillId="0" borderId="0" xfId="0" applyNumberFormat="1" applyAlignment="1">
      <alignment horizontal="center"/>
    </xf>
    <xf numFmtId="165" fontId="6" fillId="3" borderId="1" xfId="0" applyNumberFormat="1" applyFont="1" applyFill="1" applyBorder="1" applyAlignment="1">
      <alignment horizontal="center"/>
    </xf>
    <xf numFmtId="165" fontId="6" fillId="4" borderId="1" xfId="0" applyNumberFormat="1" applyFont="1" applyFill="1" applyBorder="1" applyAlignment="1">
      <alignment horizontal="center"/>
    </xf>
    <xf numFmtId="1" fontId="6" fillId="0" borderId="1" xfId="0" applyNumberFormat="1" applyFont="1" applyBorder="1" applyAlignment="1">
      <alignment horizontal="center"/>
    </xf>
    <xf numFmtId="1" fontId="5" fillId="0" borderId="1" xfId="1" applyNumberFormat="1" applyFont="1" applyBorder="1" applyAlignment="1">
      <alignment horizontal="center"/>
    </xf>
    <xf numFmtId="1" fontId="8" fillId="0" borderId="1" xfId="1" applyNumberFormat="1" applyFont="1" applyBorder="1" applyAlignment="1">
      <alignment horizontal="center"/>
    </xf>
    <xf numFmtId="1" fontId="6" fillId="0" borderId="1" xfId="1" applyNumberFormat="1" applyFont="1" applyBorder="1" applyAlignment="1">
      <alignment horizontal="center"/>
    </xf>
    <xf numFmtId="1" fontId="0" fillId="0" borderId="0" xfId="0" applyNumberFormat="1" applyAlignment="1">
      <alignment horizontal="center"/>
    </xf>
    <xf numFmtId="165" fontId="8" fillId="8" borderId="1" xfId="1" applyNumberFormat="1" applyFont="1" applyFill="1" applyBorder="1" applyAlignment="1">
      <alignment horizontal="center"/>
    </xf>
    <xf numFmtId="165" fontId="8" fillId="8" borderId="1" xfId="0" applyNumberFormat="1" applyFont="1" applyFill="1" applyBorder="1" applyAlignment="1">
      <alignment horizontal="center"/>
    </xf>
    <xf numFmtId="165" fontId="4" fillId="8" borderId="1" xfId="0" applyNumberFormat="1" applyFont="1" applyFill="1" applyBorder="1" applyAlignment="1">
      <alignment horizontal="center"/>
    </xf>
    <xf numFmtId="165" fontId="4" fillId="8" borderId="1" xfId="1" applyNumberFormat="1" applyFont="1" applyFill="1" applyBorder="1" applyAlignment="1">
      <alignment horizontal="center"/>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552"/>
  <sheetViews>
    <sheetView tabSelected="1" topLeftCell="C1" zoomScale="75" zoomScaleNormal="75" workbookViewId="0">
      <pane ySplit="1" topLeftCell="A183" activePane="bottomLeft" state="frozen"/>
      <selection pane="bottomLeft" activeCell="P197" sqref="P197"/>
    </sheetView>
  </sheetViews>
  <sheetFormatPr baseColWidth="10" defaultColWidth="10.6640625" defaultRowHeight="14.4" x14ac:dyDescent="0.3"/>
  <cols>
    <col min="1" max="1" width="10.6640625" style="4" customWidth="1"/>
    <col min="2" max="2" width="14" style="4" customWidth="1"/>
    <col min="3" max="4" width="10.6640625" style="4" customWidth="1"/>
    <col min="5" max="5" width="10.6640625" style="43" customWidth="1"/>
    <col min="6" max="6" width="14.21875" style="25" customWidth="1"/>
    <col min="7" max="7" width="10.6640625" style="4" customWidth="1"/>
    <col min="8" max="8" width="19" style="4" customWidth="1"/>
    <col min="9" max="9" width="19" style="69" customWidth="1"/>
    <col min="10" max="10" width="26" style="4" customWidth="1"/>
    <col min="11" max="11" width="23.77734375" style="4" customWidth="1"/>
    <col min="12" max="13" width="13" style="4" customWidth="1"/>
    <col min="14" max="14" width="44.88671875" customWidth="1"/>
    <col min="15" max="15" width="10.6640625" style="4" customWidth="1"/>
    <col min="16" max="16" width="10.6640625" style="62" customWidth="1"/>
    <col min="17" max="17" width="11.44140625" style="4" customWidth="1"/>
    <col min="18" max="18" width="13" style="4" customWidth="1"/>
    <col min="19" max="19" width="10.6640625" style="4" customWidth="1"/>
    <col min="20" max="20" width="10.6640625" style="62" customWidth="1"/>
    <col min="21" max="21" width="10.6640625" style="4" customWidth="1"/>
    <col min="22" max="22" width="12.33203125" style="4" customWidth="1"/>
    <col min="23" max="23" width="10.6640625" style="4" customWidth="1"/>
    <col min="24" max="24" width="10.6640625" style="62" customWidth="1"/>
    <col min="25" max="25" width="10.6640625" style="4" customWidth="1"/>
    <col min="26" max="26" width="13.44140625" style="4" customWidth="1"/>
    <col min="27" max="27" width="106.77734375" style="4" customWidth="1"/>
    <col min="28" max="28" width="81.109375" style="4" customWidth="1"/>
    <col min="29" max="29" width="68.77734375" style="4" customWidth="1"/>
  </cols>
  <sheetData>
    <row r="1" spans="1:29" x14ac:dyDescent="0.3">
      <c r="A1" s="16" t="s">
        <v>0</v>
      </c>
      <c r="B1" s="16" t="s">
        <v>1</v>
      </c>
      <c r="C1" s="16" t="s">
        <v>2</v>
      </c>
      <c r="D1" s="16" t="s">
        <v>3</v>
      </c>
      <c r="E1" s="39" t="s">
        <v>4</v>
      </c>
      <c r="F1" s="26" t="s">
        <v>5</v>
      </c>
      <c r="G1" s="16" t="s">
        <v>6</v>
      </c>
      <c r="H1" s="16" t="s">
        <v>7</v>
      </c>
      <c r="I1" s="65" t="s">
        <v>8</v>
      </c>
      <c r="J1" s="16" t="s">
        <v>9</v>
      </c>
      <c r="K1" s="16" t="s">
        <v>10</v>
      </c>
      <c r="L1" s="16" t="s">
        <v>11</v>
      </c>
      <c r="M1" s="16" t="s">
        <v>12</v>
      </c>
      <c r="N1" s="17" t="s">
        <v>13</v>
      </c>
      <c r="O1" s="16" t="s">
        <v>6</v>
      </c>
      <c r="P1" s="57" t="s">
        <v>14</v>
      </c>
      <c r="Q1" s="18"/>
      <c r="R1" s="16" t="s">
        <v>15</v>
      </c>
      <c r="S1" s="16" t="s">
        <v>6</v>
      </c>
      <c r="T1" s="63" t="s">
        <v>14</v>
      </c>
      <c r="U1" s="19"/>
      <c r="V1" s="16" t="s">
        <v>15</v>
      </c>
      <c r="W1" s="16" t="s">
        <v>6</v>
      </c>
      <c r="X1" s="64" t="s">
        <v>14</v>
      </c>
      <c r="Y1" s="20"/>
      <c r="Z1" s="16" t="s">
        <v>15</v>
      </c>
      <c r="AA1" s="1" t="s">
        <v>16</v>
      </c>
      <c r="AB1" s="1" t="s">
        <v>17</v>
      </c>
      <c r="AC1" s="1" t="s">
        <v>18</v>
      </c>
    </row>
    <row r="2" spans="1:29" hidden="1" x14ac:dyDescent="0.3">
      <c r="A2" s="10">
        <v>402</v>
      </c>
      <c r="B2" s="8"/>
      <c r="C2" s="8">
        <v>0</v>
      </c>
      <c r="D2" s="8"/>
      <c r="E2" s="42">
        <v>4900</v>
      </c>
      <c r="F2" s="7">
        <f t="shared" ref="F2:F65" si="0">D2*E2</f>
        <v>0</v>
      </c>
      <c r="G2" s="8"/>
      <c r="H2" s="7">
        <f t="shared" ref="H2:H65" si="1">E2*G2</f>
        <v>0</v>
      </c>
      <c r="I2" s="7"/>
      <c r="J2" s="8" t="s">
        <v>19</v>
      </c>
      <c r="K2" s="8"/>
      <c r="L2" s="8"/>
      <c r="M2" s="8"/>
      <c r="N2" s="9" t="s">
        <v>20</v>
      </c>
      <c r="O2" s="8"/>
      <c r="P2" s="14">
        <f t="shared" ref="P2:P33" si="2">E2*1.6</f>
        <v>7840</v>
      </c>
      <c r="Q2" s="15">
        <f t="shared" ref="Q2:Q65" si="3">(P2-E2)/E2</f>
        <v>0.6</v>
      </c>
      <c r="R2" s="7">
        <f t="shared" ref="R2:R65" si="4">O2*P2</f>
        <v>0</v>
      </c>
      <c r="S2" s="8"/>
      <c r="T2" s="14">
        <f t="shared" ref="T2:T33" si="5">E2*1.8</f>
        <v>8820</v>
      </c>
      <c r="U2" s="15">
        <f t="shared" ref="U2:U33" si="6">(T2-E2)/E2</f>
        <v>0.8</v>
      </c>
      <c r="V2" s="7">
        <f t="shared" ref="V2:V33" si="7">S2*T2</f>
        <v>0</v>
      </c>
      <c r="W2" s="8"/>
      <c r="X2" s="14">
        <f t="shared" ref="X2:X33" si="8">E2*2.05</f>
        <v>10045</v>
      </c>
      <c r="Y2" s="15">
        <f t="shared" ref="Y2:Y33" si="9">(X2-E2)/E2</f>
        <v>1.05</v>
      </c>
      <c r="Z2" s="7">
        <f t="shared" ref="Z2:Z33" si="10">W2*X2</f>
        <v>0</v>
      </c>
      <c r="AA2" s="8" t="s">
        <v>21</v>
      </c>
      <c r="AB2" s="8" t="s">
        <v>22</v>
      </c>
      <c r="AC2" s="8"/>
    </row>
    <row r="3" spans="1:29" hidden="1" x14ac:dyDescent="0.3">
      <c r="A3" s="10">
        <v>403</v>
      </c>
      <c r="B3" s="8"/>
      <c r="C3" s="8">
        <v>0</v>
      </c>
      <c r="D3" s="8"/>
      <c r="E3" s="42">
        <v>2488</v>
      </c>
      <c r="F3" s="7">
        <f t="shared" si="0"/>
        <v>0</v>
      </c>
      <c r="G3" s="8"/>
      <c r="H3" s="7">
        <f t="shared" si="1"/>
        <v>0</v>
      </c>
      <c r="I3" s="7"/>
      <c r="J3" s="8" t="s">
        <v>19</v>
      </c>
      <c r="K3" s="8"/>
      <c r="L3" s="8"/>
      <c r="M3" s="8"/>
      <c r="N3" s="9" t="s">
        <v>23</v>
      </c>
      <c r="O3" s="8"/>
      <c r="P3" s="14">
        <f t="shared" si="2"/>
        <v>3980.8</v>
      </c>
      <c r="Q3" s="15">
        <f t="shared" si="3"/>
        <v>0.60000000000000009</v>
      </c>
      <c r="R3" s="7">
        <f t="shared" si="4"/>
        <v>0</v>
      </c>
      <c r="S3" s="8"/>
      <c r="T3" s="14">
        <f t="shared" si="5"/>
        <v>4478.4000000000005</v>
      </c>
      <c r="U3" s="15">
        <f t="shared" si="6"/>
        <v>0.80000000000000027</v>
      </c>
      <c r="V3" s="7">
        <f t="shared" si="7"/>
        <v>0</v>
      </c>
      <c r="W3" s="8"/>
      <c r="X3" s="14">
        <f t="shared" si="8"/>
        <v>5100.3999999999996</v>
      </c>
      <c r="Y3" s="15">
        <f t="shared" si="9"/>
        <v>1.0499999999999998</v>
      </c>
      <c r="Z3" s="7">
        <f t="shared" si="10"/>
        <v>0</v>
      </c>
      <c r="AA3" s="8" t="s">
        <v>24</v>
      </c>
      <c r="AB3" s="8" t="s">
        <v>25</v>
      </c>
      <c r="AC3" s="8"/>
    </row>
    <row r="4" spans="1:29" hidden="1" x14ac:dyDescent="0.3">
      <c r="A4" s="10">
        <v>404</v>
      </c>
      <c r="B4" s="8"/>
      <c r="C4" s="8">
        <v>0</v>
      </c>
      <c r="D4" s="8"/>
      <c r="E4" s="42">
        <v>4402</v>
      </c>
      <c r="F4" s="7">
        <f t="shared" si="0"/>
        <v>0</v>
      </c>
      <c r="G4" s="8"/>
      <c r="H4" s="7">
        <f t="shared" si="1"/>
        <v>0</v>
      </c>
      <c r="I4" s="7"/>
      <c r="J4" s="8" t="s">
        <v>19</v>
      </c>
      <c r="K4" s="8"/>
      <c r="L4" s="8"/>
      <c r="M4" s="8"/>
      <c r="N4" s="9" t="s">
        <v>26</v>
      </c>
      <c r="O4" s="8"/>
      <c r="P4" s="14">
        <f t="shared" si="2"/>
        <v>7043.2000000000007</v>
      </c>
      <c r="Q4" s="15">
        <f t="shared" si="3"/>
        <v>0.6000000000000002</v>
      </c>
      <c r="R4" s="7">
        <f t="shared" si="4"/>
        <v>0</v>
      </c>
      <c r="S4" s="8"/>
      <c r="T4" s="14">
        <f t="shared" si="5"/>
        <v>7923.6</v>
      </c>
      <c r="U4" s="15">
        <f t="shared" si="6"/>
        <v>0.8</v>
      </c>
      <c r="V4" s="7">
        <f t="shared" si="7"/>
        <v>0</v>
      </c>
      <c r="W4" s="8"/>
      <c r="X4" s="14">
        <f t="shared" si="8"/>
        <v>9024.0999999999985</v>
      </c>
      <c r="Y4" s="15">
        <f t="shared" si="9"/>
        <v>1.0499999999999996</v>
      </c>
      <c r="Z4" s="7">
        <f t="shared" si="10"/>
        <v>0</v>
      </c>
      <c r="AA4" s="8" t="s">
        <v>27</v>
      </c>
      <c r="AB4" s="8" t="s">
        <v>28</v>
      </c>
      <c r="AC4" s="8" t="s">
        <v>29</v>
      </c>
    </row>
    <row r="5" spans="1:29" hidden="1" x14ac:dyDescent="0.3">
      <c r="A5" s="10">
        <v>405</v>
      </c>
      <c r="B5" s="8"/>
      <c r="C5" s="8">
        <v>0</v>
      </c>
      <c r="D5" s="8"/>
      <c r="E5" s="42">
        <v>5568</v>
      </c>
      <c r="F5" s="7">
        <f t="shared" si="0"/>
        <v>0</v>
      </c>
      <c r="G5" s="8"/>
      <c r="H5" s="7">
        <f t="shared" si="1"/>
        <v>0</v>
      </c>
      <c r="I5" s="7"/>
      <c r="J5" s="8" t="s">
        <v>19</v>
      </c>
      <c r="K5" s="8"/>
      <c r="L5" s="8"/>
      <c r="M5" s="8"/>
      <c r="N5" s="9" t="s">
        <v>30</v>
      </c>
      <c r="O5" s="8"/>
      <c r="P5" s="14">
        <f t="shared" si="2"/>
        <v>8908.8000000000011</v>
      </c>
      <c r="Q5" s="15">
        <f t="shared" si="3"/>
        <v>0.6000000000000002</v>
      </c>
      <c r="R5" s="7">
        <f t="shared" si="4"/>
        <v>0</v>
      </c>
      <c r="S5" s="8"/>
      <c r="T5" s="14">
        <f t="shared" si="5"/>
        <v>10022.4</v>
      </c>
      <c r="U5" s="15">
        <f t="shared" si="6"/>
        <v>0.79999999999999993</v>
      </c>
      <c r="V5" s="7">
        <f t="shared" si="7"/>
        <v>0</v>
      </c>
      <c r="W5" s="8"/>
      <c r="X5" s="14">
        <f t="shared" si="8"/>
        <v>11414.4</v>
      </c>
      <c r="Y5" s="15">
        <f t="shared" si="9"/>
        <v>1.05</v>
      </c>
      <c r="Z5" s="7">
        <f t="shared" si="10"/>
        <v>0</v>
      </c>
      <c r="AA5" s="8" t="s">
        <v>31</v>
      </c>
      <c r="AB5" s="8" t="s">
        <v>32</v>
      </c>
      <c r="AC5" s="8" t="s">
        <v>29</v>
      </c>
    </row>
    <row r="6" spans="1:29" s="3" customFormat="1" hidden="1" x14ac:dyDescent="0.3">
      <c r="A6" s="10">
        <v>406</v>
      </c>
      <c r="B6" s="8"/>
      <c r="C6" s="8">
        <v>0</v>
      </c>
      <c r="D6" s="8"/>
      <c r="E6" s="42">
        <v>0</v>
      </c>
      <c r="F6" s="7">
        <f t="shared" si="0"/>
        <v>0</v>
      </c>
      <c r="G6" s="8"/>
      <c r="H6" s="7">
        <f t="shared" si="1"/>
        <v>0</v>
      </c>
      <c r="I6" s="7"/>
      <c r="J6" s="8" t="s">
        <v>19</v>
      </c>
      <c r="K6" s="8"/>
      <c r="L6" s="8"/>
      <c r="M6" s="8"/>
      <c r="N6" s="9" t="s">
        <v>33</v>
      </c>
      <c r="O6" s="8"/>
      <c r="P6" s="14">
        <f t="shared" si="2"/>
        <v>0</v>
      </c>
      <c r="Q6" s="15" t="e">
        <f t="shared" si="3"/>
        <v>#DIV/0!</v>
      </c>
      <c r="R6" s="7">
        <f t="shared" si="4"/>
        <v>0</v>
      </c>
      <c r="S6" s="8"/>
      <c r="T6" s="14">
        <f t="shared" si="5"/>
        <v>0</v>
      </c>
      <c r="U6" s="15" t="e">
        <f t="shared" si="6"/>
        <v>#DIV/0!</v>
      </c>
      <c r="V6" s="7">
        <f t="shared" si="7"/>
        <v>0</v>
      </c>
      <c r="W6" s="8"/>
      <c r="X6" s="14">
        <f t="shared" si="8"/>
        <v>0</v>
      </c>
      <c r="Y6" s="15" t="e">
        <f t="shared" si="9"/>
        <v>#DIV/0!</v>
      </c>
      <c r="Z6" s="7">
        <f t="shared" si="10"/>
        <v>0</v>
      </c>
      <c r="AA6" s="8" t="s">
        <v>34</v>
      </c>
      <c r="AB6" s="8" t="s">
        <v>35</v>
      </c>
      <c r="AC6" s="8" t="s">
        <v>29</v>
      </c>
    </row>
    <row r="7" spans="1:29" hidden="1" x14ac:dyDescent="0.3">
      <c r="A7" s="10">
        <v>407</v>
      </c>
      <c r="B7" s="8"/>
      <c r="C7" s="8">
        <v>0</v>
      </c>
      <c r="D7" s="8"/>
      <c r="E7" s="42">
        <v>4872</v>
      </c>
      <c r="F7" s="7">
        <f t="shared" si="0"/>
        <v>0</v>
      </c>
      <c r="G7" s="8"/>
      <c r="H7" s="7">
        <f t="shared" si="1"/>
        <v>0</v>
      </c>
      <c r="I7" s="7"/>
      <c r="J7" s="8" t="s">
        <v>19</v>
      </c>
      <c r="K7" s="8"/>
      <c r="L7" s="8"/>
      <c r="M7" s="8"/>
      <c r="N7" s="9" t="s">
        <v>36</v>
      </c>
      <c r="O7" s="8"/>
      <c r="P7" s="14">
        <f t="shared" si="2"/>
        <v>7795.2000000000007</v>
      </c>
      <c r="Q7" s="15">
        <f t="shared" si="3"/>
        <v>0.6000000000000002</v>
      </c>
      <c r="R7" s="7">
        <f t="shared" si="4"/>
        <v>0</v>
      </c>
      <c r="S7" s="8"/>
      <c r="T7" s="14">
        <f t="shared" si="5"/>
        <v>8769.6</v>
      </c>
      <c r="U7" s="15">
        <f t="shared" si="6"/>
        <v>0.8</v>
      </c>
      <c r="V7" s="7">
        <f t="shared" si="7"/>
        <v>0</v>
      </c>
      <c r="W7" s="8"/>
      <c r="X7" s="14">
        <f t="shared" si="8"/>
        <v>9987.5999999999985</v>
      </c>
      <c r="Y7" s="15">
        <f t="shared" si="9"/>
        <v>1.0499999999999996</v>
      </c>
      <c r="Z7" s="7">
        <f t="shared" si="10"/>
        <v>0</v>
      </c>
      <c r="AA7" s="8" t="s">
        <v>37</v>
      </c>
      <c r="AB7" s="8" t="s">
        <v>38</v>
      </c>
      <c r="AC7" s="8" t="s">
        <v>29</v>
      </c>
    </row>
    <row r="8" spans="1:29" hidden="1" x14ac:dyDescent="0.3">
      <c r="A8" s="10">
        <v>408</v>
      </c>
      <c r="B8" s="8"/>
      <c r="C8" s="8">
        <v>0</v>
      </c>
      <c r="D8" s="8"/>
      <c r="E8" s="42">
        <v>5046</v>
      </c>
      <c r="F8" s="7">
        <f t="shared" si="0"/>
        <v>0</v>
      </c>
      <c r="G8" s="8"/>
      <c r="H8" s="7">
        <f t="shared" si="1"/>
        <v>0</v>
      </c>
      <c r="I8" s="7"/>
      <c r="J8" s="8" t="s">
        <v>19</v>
      </c>
      <c r="K8" s="8"/>
      <c r="L8" s="8"/>
      <c r="M8" s="8"/>
      <c r="N8" s="9" t="s">
        <v>39</v>
      </c>
      <c r="O8" s="8"/>
      <c r="P8" s="14">
        <f t="shared" si="2"/>
        <v>8073.6</v>
      </c>
      <c r="Q8" s="15">
        <f t="shared" si="3"/>
        <v>0.60000000000000009</v>
      </c>
      <c r="R8" s="7">
        <f t="shared" si="4"/>
        <v>0</v>
      </c>
      <c r="S8" s="8"/>
      <c r="T8" s="14">
        <f t="shared" si="5"/>
        <v>9082.8000000000011</v>
      </c>
      <c r="U8" s="15">
        <f t="shared" si="6"/>
        <v>0.80000000000000027</v>
      </c>
      <c r="V8" s="7">
        <f t="shared" si="7"/>
        <v>0</v>
      </c>
      <c r="W8" s="8"/>
      <c r="X8" s="14">
        <f t="shared" si="8"/>
        <v>10344.299999999999</v>
      </c>
      <c r="Y8" s="15">
        <f t="shared" si="9"/>
        <v>1.0499999999999998</v>
      </c>
      <c r="Z8" s="7">
        <f t="shared" si="10"/>
        <v>0</v>
      </c>
      <c r="AA8" s="8" t="s">
        <v>40</v>
      </c>
      <c r="AB8" s="8" t="s">
        <v>41</v>
      </c>
      <c r="AC8" s="8" t="s">
        <v>29</v>
      </c>
    </row>
    <row r="9" spans="1:29" hidden="1" x14ac:dyDescent="0.3">
      <c r="A9" s="10">
        <v>409</v>
      </c>
      <c r="B9" s="8"/>
      <c r="C9" s="8">
        <v>0</v>
      </c>
      <c r="D9" s="8"/>
      <c r="E9" s="42">
        <v>5899</v>
      </c>
      <c r="F9" s="7">
        <f t="shared" si="0"/>
        <v>0</v>
      </c>
      <c r="G9" s="8"/>
      <c r="H9" s="7">
        <f t="shared" si="1"/>
        <v>0</v>
      </c>
      <c r="I9" s="7"/>
      <c r="J9" s="8" t="s">
        <v>19</v>
      </c>
      <c r="K9" s="8"/>
      <c r="L9" s="8"/>
      <c r="M9" s="8"/>
      <c r="N9" s="9" t="s">
        <v>42</v>
      </c>
      <c r="O9" s="8"/>
      <c r="P9" s="14">
        <f t="shared" si="2"/>
        <v>9438.4</v>
      </c>
      <c r="Q9" s="15">
        <f t="shared" si="3"/>
        <v>0.6</v>
      </c>
      <c r="R9" s="7">
        <f t="shared" si="4"/>
        <v>0</v>
      </c>
      <c r="S9" s="8"/>
      <c r="T9" s="14">
        <f t="shared" si="5"/>
        <v>10618.2</v>
      </c>
      <c r="U9" s="15">
        <f t="shared" si="6"/>
        <v>0.80000000000000016</v>
      </c>
      <c r="V9" s="7">
        <f t="shared" si="7"/>
        <v>0</v>
      </c>
      <c r="W9" s="8"/>
      <c r="X9" s="14">
        <f t="shared" si="8"/>
        <v>12092.949999999999</v>
      </c>
      <c r="Y9" s="15">
        <f t="shared" si="9"/>
        <v>1.0499999999999998</v>
      </c>
      <c r="Z9" s="7">
        <f t="shared" si="10"/>
        <v>0</v>
      </c>
      <c r="AA9" s="8" t="s">
        <v>43</v>
      </c>
      <c r="AB9" s="8" t="s">
        <v>44</v>
      </c>
      <c r="AC9" s="8"/>
    </row>
    <row r="10" spans="1:29" hidden="1" x14ac:dyDescent="0.3">
      <c r="A10" s="10">
        <v>410</v>
      </c>
      <c r="B10" s="8"/>
      <c r="C10" s="8">
        <v>0</v>
      </c>
      <c r="D10" s="8"/>
      <c r="E10" s="42">
        <v>6316</v>
      </c>
      <c r="F10" s="7">
        <f t="shared" si="0"/>
        <v>0</v>
      </c>
      <c r="G10" s="8"/>
      <c r="H10" s="7">
        <f t="shared" si="1"/>
        <v>0</v>
      </c>
      <c r="I10" s="7"/>
      <c r="J10" s="8" t="s">
        <v>19</v>
      </c>
      <c r="K10" s="8"/>
      <c r="L10" s="8"/>
      <c r="M10" s="8"/>
      <c r="N10" s="9" t="s">
        <v>45</v>
      </c>
      <c r="O10" s="8"/>
      <c r="P10" s="14">
        <f t="shared" si="2"/>
        <v>10105.6</v>
      </c>
      <c r="Q10" s="15">
        <f t="shared" si="3"/>
        <v>0.60000000000000009</v>
      </c>
      <c r="R10" s="7">
        <f t="shared" si="4"/>
        <v>0</v>
      </c>
      <c r="S10" s="8"/>
      <c r="T10" s="14">
        <f t="shared" si="5"/>
        <v>11368.800000000001</v>
      </c>
      <c r="U10" s="15">
        <f t="shared" si="6"/>
        <v>0.80000000000000016</v>
      </c>
      <c r="V10" s="7">
        <f t="shared" si="7"/>
        <v>0</v>
      </c>
      <c r="W10" s="8"/>
      <c r="X10" s="14">
        <f t="shared" si="8"/>
        <v>12947.8</v>
      </c>
      <c r="Y10" s="15">
        <f t="shared" si="9"/>
        <v>1.0499999999999998</v>
      </c>
      <c r="Z10" s="7">
        <f t="shared" si="10"/>
        <v>0</v>
      </c>
      <c r="AA10" s="8" t="s">
        <v>46</v>
      </c>
      <c r="AB10" s="8" t="s">
        <v>47</v>
      </c>
      <c r="AC10" s="8" t="s">
        <v>29</v>
      </c>
    </row>
    <row r="11" spans="1:29" hidden="1" x14ac:dyDescent="0.3">
      <c r="A11" s="10">
        <v>411</v>
      </c>
      <c r="B11" s="8"/>
      <c r="C11" s="8">
        <v>0</v>
      </c>
      <c r="D11" s="8"/>
      <c r="E11" s="42">
        <v>5200</v>
      </c>
      <c r="F11" s="7">
        <f t="shared" si="0"/>
        <v>0</v>
      </c>
      <c r="G11" s="8"/>
      <c r="H11" s="7">
        <f t="shared" si="1"/>
        <v>0</v>
      </c>
      <c r="I11" s="7"/>
      <c r="J11" s="8" t="s">
        <v>19</v>
      </c>
      <c r="K11" s="8"/>
      <c r="L11" s="8"/>
      <c r="M11" s="8"/>
      <c r="N11" s="9" t="s">
        <v>48</v>
      </c>
      <c r="O11" s="8"/>
      <c r="P11" s="14">
        <f t="shared" si="2"/>
        <v>8320</v>
      </c>
      <c r="Q11" s="15">
        <f t="shared" si="3"/>
        <v>0.6</v>
      </c>
      <c r="R11" s="7">
        <f t="shared" si="4"/>
        <v>0</v>
      </c>
      <c r="S11" s="8"/>
      <c r="T11" s="14">
        <f t="shared" si="5"/>
        <v>9360</v>
      </c>
      <c r="U11" s="15">
        <f t="shared" si="6"/>
        <v>0.8</v>
      </c>
      <c r="V11" s="7">
        <f t="shared" si="7"/>
        <v>0</v>
      </c>
      <c r="W11" s="8"/>
      <c r="X11" s="14">
        <f t="shared" si="8"/>
        <v>10659.999999999998</v>
      </c>
      <c r="Y11" s="15">
        <f t="shared" si="9"/>
        <v>1.0499999999999996</v>
      </c>
      <c r="Z11" s="7">
        <f t="shared" si="10"/>
        <v>0</v>
      </c>
      <c r="AA11" s="8" t="s">
        <v>49</v>
      </c>
      <c r="AB11" s="8" t="s">
        <v>50</v>
      </c>
      <c r="AC11" s="8" t="s">
        <v>29</v>
      </c>
    </row>
    <row r="12" spans="1:29" hidden="1" x14ac:dyDescent="0.3">
      <c r="A12" s="10">
        <v>412</v>
      </c>
      <c r="B12" s="8"/>
      <c r="C12" s="8">
        <v>0</v>
      </c>
      <c r="D12" s="8"/>
      <c r="E12" s="42">
        <v>5899</v>
      </c>
      <c r="F12" s="7">
        <f t="shared" si="0"/>
        <v>0</v>
      </c>
      <c r="G12" s="8"/>
      <c r="H12" s="7">
        <f t="shared" si="1"/>
        <v>0</v>
      </c>
      <c r="I12" s="7"/>
      <c r="J12" s="8" t="s">
        <v>19</v>
      </c>
      <c r="K12" s="8"/>
      <c r="L12" s="8"/>
      <c r="M12" s="8"/>
      <c r="N12" s="9" t="s">
        <v>51</v>
      </c>
      <c r="O12" s="8"/>
      <c r="P12" s="14">
        <f t="shared" si="2"/>
        <v>9438.4</v>
      </c>
      <c r="Q12" s="15">
        <f t="shared" si="3"/>
        <v>0.6</v>
      </c>
      <c r="R12" s="7">
        <f t="shared" si="4"/>
        <v>0</v>
      </c>
      <c r="S12" s="8"/>
      <c r="T12" s="14">
        <f t="shared" si="5"/>
        <v>10618.2</v>
      </c>
      <c r="U12" s="15">
        <f t="shared" si="6"/>
        <v>0.80000000000000016</v>
      </c>
      <c r="V12" s="7">
        <f t="shared" si="7"/>
        <v>0</v>
      </c>
      <c r="W12" s="8"/>
      <c r="X12" s="14">
        <f t="shared" si="8"/>
        <v>12092.949999999999</v>
      </c>
      <c r="Y12" s="15">
        <f t="shared" si="9"/>
        <v>1.0499999999999998</v>
      </c>
      <c r="Z12" s="7">
        <f t="shared" si="10"/>
        <v>0</v>
      </c>
      <c r="AA12" s="8" t="s">
        <v>52</v>
      </c>
      <c r="AB12" s="8" t="s">
        <v>53</v>
      </c>
      <c r="AC12" s="8" t="s">
        <v>29</v>
      </c>
    </row>
    <row r="13" spans="1:29" hidden="1" x14ac:dyDescent="0.3">
      <c r="A13" s="10">
        <v>413</v>
      </c>
      <c r="B13" s="8"/>
      <c r="C13" s="8">
        <v>0</v>
      </c>
      <c r="D13" s="8"/>
      <c r="E13" s="42">
        <v>4402</v>
      </c>
      <c r="F13" s="7">
        <f t="shared" si="0"/>
        <v>0</v>
      </c>
      <c r="G13" s="8"/>
      <c r="H13" s="7">
        <f t="shared" si="1"/>
        <v>0</v>
      </c>
      <c r="I13" s="7"/>
      <c r="J13" s="8" t="s">
        <v>19</v>
      </c>
      <c r="K13" s="8"/>
      <c r="L13" s="8"/>
      <c r="M13" s="8"/>
      <c r="N13" s="9" t="s">
        <v>54</v>
      </c>
      <c r="O13" s="8"/>
      <c r="P13" s="14">
        <f t="shared" si="2"/>
        <v>7043.2000000000007</v>
      </c>
      <c r="Q13" s="15">
        <f t="shared" si="3"/>
        <v>0.6000000000000002</v>
      </c>
      <c r="R13" s="7">
        <f t="shared" si="4"/>
        <v>0</v>
      </c>
      <c r="S13" s="8"/>
      <c r="T13" s="14">
        <f t="shared" si="5"/>
        <v>7923.6</v>
      </c>
      <c r="U13" s="15">
        <f t="shared" si="6"/>
        <v>0.8</v>
      </c>
      <c r="V13" s="7">
        <f t="shared" si="7"/>
        <v>0</v>
      </c>
      <c r="W13" s="8"/>
      <c r="X13" s="14">
        <f t="shared" si="8"/>
        <v>9024.0999999999985</v>
      </c>
      <c r="Y13" s="15">
        <f t="shared" si="9"/>
        <v>1.0499999999999996</v>
      </c>
      <c r="Z13" s="7">
        <f t="shared" si="10"/>
        <v>0</v>
      </c>
      <c r="AA13" s="8" t="s">
        <v>55</v>
      </c>
      <c r="AB13" s="8" t="s">
        <v>56</v>
      </c>
      <c r="AC13" s="8" t="s">
        <v>29</v>
      </c>
    </row>
    <row r="14" spans="1:29" hidden="1" x14ac:dyDescent="0.3">
      <c r="A14" s="10">
        <v>414</v>
      </c>
      <c r="B14" s="8"/>
      <c r="C14" s="8">
        <v>0</v>
      </c>
      <c r="D14" s="8"/>
      <c r="E14" s="42">
        <v>5899</v>
      </c>
      <c r="F14" s="7">
        <f t="shared" si="0"/>
        <v>0</v>
      </c>
      <c r="G14" s="8"/>
      <c r="H14" s="7">
        <f t="shared" si="1"/>
        <v>0</v>
      </c>
      <c r="I14" s="7"/>
      <c r="J14" s="8" t="s">
        <v>19</v>
      </c>
      <c r="K14" s="8"/>
      <c r="L14" s="8"/>
      <c r="M14" s="8"/>
      <c r="N14" s="9" t="s">
        <v>57</v>
      </c>
      <c r="O14" s="8"/>
      <c r="P14" s="14">
        <f t="shared" si="2"/>
        <v>9438.4</v>
      </c>
      <c r="Q14" s="15">
        <f t="shared" si="3"/>
        <v>0.6</v>
      </c>
      <c r="R14" s="7">
        <f t="shared" si="4"/>
        <v>0</v>
      </c>
      <c r="S14" s="8"/>
      <c r="T14" s="14">
        <f t="shared" si="5"/>
        <v>10618.2</v>
      </c>
      <c r="U14" s="15">
        <f t="shared" si="6"/>
        <v>0.80000000000000016</v>
      </c>
      <c r="V14" s="7">
        <f t="shared" si="7"/>
        <v>0</v>
      </c>
      <c r="W14" s="8"/>
      <c r="X14" s="14">
        <f t="shared" si="8"/>
        <v>12092.949999999999</v>
      </c>
      <c r="Y14" s="15">
        <f t="shared" si="9"/>
        <v>1.0499999999999998</v>
      </c>
      <c r="Z14" s="7">
        <f t="shared" si="10"/>
        <v>0</v>
      </c>
      <c r="AA14" s="8" t="s">
        <v>58</v>
      </c>
      <c r="AB14" s="8" t="s">
        <v>59</v>
      </c>
      <c r="AC14" s="8" t="s">
        <v>29</v>
      </c>
    </row>
    <row r="15" spans="1:29" hidden="1" x14ac:dyDescent="0.3">
      <c r="A15" s="10">
        <v>415</v>
      </c>
      <c r="B15" s="8"/>
      <c r="C15" s="8">
        <v>0</v>
      </c>
      <c r="D15" s="8"/>
      <c r="E15" s="42">
        <v>6960</v>
      </c>
      <c r="F15" s="7">
        <f t="shared" si="0"/>
        <v>0</v>
      </c>
      <c r="G15" s="8"/>
      <c r="H15" s="7">
        <f t="shared" si="1"/>
        <v>0</v>
      </c>
      <c r="I15" s="7"/>
      <c r="J15" s="8" t="s">
        <v>19</v>
      </c>
      <c r="K15" s="8"/>
      <c r="L15" s="8"/>
      <c r="M15" s="8"/>
      <c r="N15" s="9" t="s">
        <v>60</v>
      </c>
      <c r="O15" s="8"/>
      <c r="P15" s="14">
        <f t="shared" si="2"/>
        <v>11136</v>
      </c>
      <c r="Q15" s="15">
        <f t="shared" si="3"/>
        <v>0.6</v>
      </c>
      <c r="R15" s="7">
        <f t="shared" si="4"/>
        <v>0</v>
      </c>
      <c r="S15" s="8"/>
      <c r="T15" s="14">
        <f t="shared" si="5"/>
        <v>12528</v>
      </c>
      <c r="U15" s="15">
        <f t="shared" si="6"/>
        <v>0.8</v>
      </c>
      <c r="V15" s="7">
        <f t="shared" si="7"/>
        <v>0</v>
      </c>
      <c r="W15" s="8"/>
      <c r="X15" s="14">
        <f t="shared" si="8"/>
        <v>14267.999999999998</v>
      </c>
      <c r="Y15" s="15">
        <f t="shared" si="9"/>
        <v>1.0499999999999998</v>
      </c>
      <c r="Z15" s="7">
        <f t="shared" si="10"/>
        <v>0</v>
      </c>
      <c r="AA15" s="8" t="s">
        <v>61</v>
      </c>
      <c r="AB15" s="8" t="s">
        <v>62</v>
      </c>
      <c r="AC15" s="8" t="s">
        <v>29</v>
      </c>
    </row>
    <row r="16" spans="1:29" hidden="1" x14ac:dyDescent="0.3">
      <c r="A16" s="10">
        <v>416</v>
      </c>
      <c r="B16" s="8"/>
      <c r="C16" s="8">
        <v>0</v>
      </c>
      <c r="D16" s="8"/>
      <c r="E16" s="42">
        <v>6960</v>
      </c>
      <c r="F16" s="7">
        <f t="shared" si="0"/>
        <v>0</v>
      </c>
      <c r="G16" s="8"/>
      <c r="H16" s="7">
        <f t="shared" si="1"/>
        <v>0</v>
      </c>
      <c r="I16" s="7"/>
      <c r="J16" s="8" t="s">
        <v>19</v>
      </c>
      <c r="K16" s="8"/>
      <c r="L16" s="8"/>
      <c r="M16" s="8"/>
      <c r="N16" s="9" t="s">
        <v>63</v>
      </c>
      <c r="O16" s="8"/>
      <c r="P16" s="14">
        <f t="shared" si="2"/>
        <v>11136</v>
      </c>
      <c r="Q16" s="15">
        <f t="shared" si="3"/>
        <v>0.6</v>
      </c>
      <c r="R16" s="7">
        <f t="shared" si="4"/>
        <v>0</v>
      </c>
      <c r="S16" s="8"/>
      <c r="T16" s="14">
        <f t="shared" si="5"/>
        <v>12528</v>
      </c>
      <c r="U16" s="15">
        <f t="shared" si="6"/>
        <v>0.8</v>
      </c>
      <c r="V16" s="7">
        <f t="shared" si="7"/>
        <v>0</v>
      </c>
      <c r="W16" s="8"/>
      <c r="X16" s="14">
        <f t="shared" si="8"/>
        <v>14267.999999999998</v>
      </c>
      <c r="Y16" s="15">
        <f t="shared" si="9"/>
        <v>1.0499999999999998</v>
      </c>
      <c r="Z16" s="7">
        <f t="shared" si="10"/>
        <v>0</v>
      </c>
      <c r="AA16" s="8" t="s">
        <v>64</v>
      </c>
      <c r="AB16" s="8" t="s">
        <v>65</v>
      </c>
      <c r="AC16" s="8" t="s">
        <v>29</v>
      </c>
    </row>
    <row r="17" spans="1:31" hidden="1" x14ac:dyDescent="0.3">
      <c r="A17" s="10">
        <v>417</v>
      </c>
      <c r="B17" s="8"/>
      <c r="C17" s="8">
        <v>0</v>
      </c>
      <c r="D17" s="8"/>
      <c r="E17" s="42">
        <v>5185</v>
      </c>
      <c r="F17" s="7">
        <f t="shared" si="0"/>
        <v>0</v>
      </c>
      <c r="G17" s="8"/>
      <c r="H17" s="7">
        <f t="shared" si="1"/>
        <v>0</v>
      </c>
      <c r="I17" s="7"/>
      <c r="J17" s="8" t="s">
        <v>19</v>
      </c>
      <c r="K17" s="8"/>
      <c r="L17" s="8"/>
      <c r="M17" s="8"/>
      <c r="N17" s="9" t="s">
        <v>66</v>
      </c>
      <c r="O17" s="8"/>
      <c r="P17" s="14">
        <f t="shared" si="2"/>
        <v>8296</v>
      </c>
      <c r="Q17" s="15">
        <f t="shared" si="3"/>
        <v>0.6</v>
      </c>
      <c r="R17" s="7">
        <f t="shared" si="4"/>
        <v>0</v>
      </c>
      <c r="S17" s="8"/>
      <c r="T17" s="14">
        <f t="shared" si="5"/>
        <v>9333</v>
      </c>
      <c r="U17" s="15">
        <f t="shared" si="6"/>
        <v>0.8</v>
      </c>
      <c r="V17" s="7">
        <f t="shared" si="7"/>
        <v>0</v>
      </c>
      <c r="W17" s="8"/>
      <c r="X17" s="14">
        <f t="shared" si="8"/>
        <v>10629.249999999998</v>
      </c>
      <c r="Y17" s="15">
        <f t="shared" si="9"/>
        <v>1.0499999999999996</v>
      </c>
      <c r="Z17" s="7">
        <f t="shared" si="10"/>
        <v>0</v>
      </c>
      <c r="AA17" s="8" t="s">
        <v>67</v>
      </c>
      <c r="AB17" s="8" t="s">
        <v>68</v>
      </c>
      <c r="AC17" s="8" t="s">
        <v>29</v>
      </c>
    </row>
    <row r="18" spans="1:31" hidden="1" x14ac:dyDescent="0.3">
      <c r="A18" s="10">
        <v>418</v>
      </c>
      <c r="B18" s="8"/>
      <c r="C18" s="8">
        <v>0</v>
      </c>
      <c r="D18" s="8"/>
      <c r="E18" s="42">
        <v>6786</v>
      </c>
      <c r="F18" s="7">
        <f t="shared" si="0"/>
        <v>0</v>
      </c>
      <c r="G18" s="8"/>
      <c r="H18" s="7">
        <f t="shared" si="1"/>
        <v>0</v>
      </c>
      <c r="I18" s="7"/>
      <c r="J18" s="8" t="s">
        <v>19</v>
      </c>
      <c r="K18" s="8"/>
      <c r="L18" s="8"/>
      <c r="M18" s="8"/>
      <c r="N18" s="9" t="s">
        <v>69</v>
      </c>
      <c r="O18" s="8"/>
      <c r="P18" s="14">
        <f t="shared" si="2"/>
        <v>10857.6</v>
      </c>
      <c r="Q18" s="15">
        <f t="shared" si="3"/>
        <v>0.60000000000000009</v>
      </c>
      <c r="R18" s="7">
        <f t="shared" si="4"/>
        <v>0</v>
      </c>
      <c r="S18" s="8"/>
      <c r="T18" s="14">
        <f t="shared" si="5"/>
        <v>12214.800000000001</v>
      </c>
      <c r="U18" s="15">
        <f t="shared" si="6"/>
        <v>0.80000000000000016</v>
      </c>
      <c r="V18" s="7">
        <f t="shared" si="7"/>
        <v>0</v>
      </c>
      <c r="W18" s="8"/>
      <c r="X18" s="14">
        <f t="shared" si="8"/>
        <v>13911.3</v>
      </c>
      <c r="Y18" s="15">
        <f t="shared" si="9"/>
        <v>1.0499999999999998</v>
      </c>
      <c r="Z18" s="7">
        <f t="shared" si="10"/>
        <v>0</v>
      </c>
      <c r="AA18" s="8" t="s">
        <v>70</v>
      </c>
      <c r="AB18" s="8" t="s">
        <v>71</v>
      </c>
      <c r="AC18" s="8" t="s">
        <v>29</v>
      </c>
    </row>
    <row r="19" spans="1:31" hidden="1" x14ac:dyDescent="0.3">
      <c r="A19" s="10">
        <v>419</v>
      </c>
      <c r="B19" s="8"/>
      <c r="C19" s="8">
        <v>0</v>
      </c>
      <c r="D19" s="8"/>
      <c r="E19" s="42">
        <v>6090</v>
      </c>
      <c r="F19" s="7">
        <f t="shared" si="0"/>
        <v>0</v>
      </c>
      <c r="G19" s="8"/>
      <c r="H19" s="7">
        <f t="shared" si="1"/>
        <v>0</v>
      </c>
      <c r="I19" s="7"/>
      <c r="J19" s="8" t="s">
        <v>19</v>
      </c>
      <c r="K19" s="8"/>
      <c r="L19" s="8"/>
      <c r="M19" s="8"/>
      <c r="N19" s="9" t="s">
        <v>72</v>
      </c>
      <c r="O19" s="8"/>
      <c r="P19" s="14">
        <f t="shared" si="2"/>
        <v>9744</v>
      </c>
      <c r="Q19" s="15">
        <f t="shared" si="3"/>
        <v>0.6</v>
      </c>
      <c r="R19" s="7">
        <f t="shared" si="4"/>
        <v>0</v>
      </c>
      <c r="S19" s="8"/>
      <c r="T19" s="14">
        <f t="shared" si="5"/>
        <v>10962</v>
      </c>
      <c r="U19" s="15">
        <f t="shared" si="6"/>
        <v>0.8</v>
      </c>
      <c r="V19" s="7">
        <f t="shared" si="7"/>
        <v>0</v>
      </c>
      <c r="W19" s="8"/>
      <c r="X19" s="14">
        <f t="shared" si="8"/>
        <v>12484.499999999998</v>
      </c>
      <c r="Y19" s="15">
        <f t="shared" si="9"/>
        <v>1.0499999999999996</v>
      </c>
      <c r="Z19" s="7">
        <f t="shared" si="10"/>
        <v>0</v>
      </c>
      <c r="AA19" s="8" t="s">
        <v>73</v>
      </c>
      <c r="AB19" s="8" t="s">
        <v>74</v>
      </c>
      <c r="AC19" s="8" t="s">
        <v>29</v>
      </c>
    </row>
    <row r="20" spans="1:31" hidden="1" x14ac:dyDescent="0.3">
      <c r="A20" s="10">
        <v>420</v>
      </c>
      <c r="B20" s="8"/>
      <c r="C20" s="8">
        <v>0</v>
      </c>
      <c r="D20" s="8"/>
      <c r="E20" s="42">
        <v>3654</v>
      </c>
      <c r="F20" s="7">
        <f t="shared" si="0"/>
        <v>0</v>
      </c>
      <c r="G20" s="8"/>
      <c r="H20" s="7">
        <f t="shared" si="1"/>
        <v>0</v>
      </c>
      <c r="I20" s="7"/>
      <c r="J20" s="8" t="s">
        <v>19</v>
      </c>
      <c r="K20" s="8"/>
      <c r="L20" s="8"/>
      <c r="M20" s="8"/>
      <c r="N20" s="9" t="s">
        <v>75</v>
      </c>
      <c r="O20" s="8"/>
      <c r="P20" s="14">
        <f t="shared" si="2"/>
        <v>5846.4000000000005</v>
      </c>
      <c r="Q20" s="15">
        <f t="shared" si="3"/>
        <v>0.6000000000000002</v>
      </c>
      <c r="R20" s="7">
        <f t="shared" si="4"/>
        <v>0</v>
      </c>
      <c r="S20" s="8"/>
      <c r="T20" s="14">
        <f t="shared" si="5"/>
        <v>6577.2</v>
      </c>
      <c r="U20" s="15">
        <f t="shared" si="6"/>
        <v>0.79999999999999993</v>
      </c>
      <c r="V20" s="7">
        <f t="shared" si="7"/>
        <v>0</v>
      </c>
      <c r="W20" s="8"/>
      <c r="X20" s="14">
        <f t="shared" si="8"/>
        <v>7490.6999999999989</v>
      </c>
      <c r="Y20" s="15">
        <f t="shared" si="9"/>
        <v>1.0499999999999996</v>
      </c>
      <c r="Z20" s="7">
        <f t="shared" si="10"/>
        <v>0</v>
      </c>
      <c r="AA20" s="8" t="s">
        <v>76</v>
      </c>
      <c r="AB20" s="8" t="s">
        <v>77</v>
      </c>
      <c r="AC20" s="8" t="s">
        <v>29</v>
      </c>
    </row>
    <row r="21" spans="1:31" hidden="1" x14ac:dyDescent="0.3">
      <c r="A21" s="10">
        <v>421</v>
      </c>
      <c r="B21" s="8"/>
      <c r="C21" s="8">
        <v>0</v>
      </c>
      <c r="D21" s="8"/>
      <c r="E21" s="42">
        <v>13000</v>
      </c>
      <c r="F21" s="7">
        <f t="shared" si="0"/>
        <v>0</v>
      </c>
      <c r="G21" s="8"/>
      <c r="H21" s="7">
        <f t="shared" si="1"/>
        <v>0</v>
      </c>
      <c r="I21" s="7"/>
      <c r="J21" s="8" t="s">
        <v>19</v>
      </c>
      <c r="K21" s="8"/>
      <c r="L21" s="8"/>
      <c r="M21" s="8"/>
      <c r="N21" s="9" t="s">
        <v>78</v>
      </c>
      <c r="O21" s="8"/>
      <c r="P21" s="14">
        <f t="shared" si="2"/>
        <v>20800</v>
      </c>
      <c r="Q21" s="15">
        <f t="shared" si="3"/>
        <v>0.6</v>
      </c>
      <c r="R21" s="7">
        <f t="shared" si="4"/>
        <v>0</v>
      </c>
      <c r="S21" s="8"/>
      <c r="T21" s="14">
        <f t="shared" si="5"/>
        <v>23400</v>
      </c>
      <c r="U21" s="15">
        <f t="shared" si="6"/>
        <v>0.8</v>
      </c>
      <c r="V21" s="7">
        <f t="shared" si="7"/>
        <v>0</v>
      </c>
      <c r="W21" s="8"/>
      <c r="X21" s="14">
        <f t="shared" si="8"/>
        <v>26649.999999999996</v>
      </c>
      <c r="Y21" s="15">
        <f t="shared" si="9"/>
        <v>1.0499999999999998</v>
      </c>
      <c r="Z21" s="7">
        <f t="shared" si="10"/>
        <v>0</v>
      </c>
      <c r="AA21" s="8" t="s">
        <v>79</v>
      </c>
      <c r="AB21" s="8" t="s">
        <v>80</v>
      </c>
      <c r="AC21" s="8"/>
    </row>
    <row r="22" spans="1:31" hidden="1" x14ac:dyDescent="0.3">
      <c r="A22" s="10">
        <v>422</v>
      </c>
      <c r="B22" s="8"/>
      <c r="C22" s="8">
        <v>0</v>
      </c>
      <c r="D22" s="8"/>
      <c r="E22" s="42">
        <v>13000</v>
      </c>
      <c r="F22" s="7">
        <f t="shared" si="0"/>
        <v>0</v>
      </c>
      <c r="G22" s="8"/>
      <c r="H22" s="7">
        <f t="shared" si="1"/>
        <v>0</v>
      </c>
      <c r="I22" s="7"/>
      <c r="J22" s="8" t="s">
        <v>19</v>
      </c>
      <c r="K22" s="8"/>
      <c r="L22" s="8"/>
      <c r="M22" s="8"/>
      <c r="N22" s="9" t="s">
        <v>81</v>
      </c>
      <c r="O22" s="8"/>
      <c r="P22" s="14">
        <f t="shared" si="2"/>
        <v>20800</v>
      </c>
      <c r="Q22" s="15">
        <f t="shared" si="3"/>
        <v>0.6</v>
      </c>
      <c r="R22" s="7">
        <f t="shared" si="4"/>
        <v>0</v>
      </c>
      <c r="S22" s="8"/>
      <c r="T22" s="14">
        <f t="shared" si="5"/>
        <v>23400</v>
      </c>
      <c r="U22" s="15">
        <f t="shared" si="6"/>
        <v>0.8</v>
      </c>
      <c r="V22" s="7">
        <f t="shared" si="7"/>
        <v>0</v>
      </c>
      <c r="W22" s="8"/>
      <c r="X22" s="14">
        <f t="shared" si="8"/>
        <v>26649.999999999996</v>
      </c>
      <c r="Y22" s="15">
        <f t="shared" si="9"/>
        <v>1.0499999999999998</v>
      </c>
      <c r="Z22" s="7">
        <f t="shared" si="10"/>
        <v>0</v>
      </c>
      <c r="AA22" s="8" t="s">
        <v>82</v>
      </c>
      <c r="AB22" s="8" t="s">
        <v>83</v>
      </c>
      <c r="AC22" s="8"/>
    </row>
    <row r="23" spans="1:31" hidden="1" x14ac:dyDescent="0.3">
      <c r="A23" s="10">
        <v>423</v>
      </c>
      <c r="B23" s="8"/>
      <c r="C23" s="8">
        <v>0</v>
      </c>
      <c r="D23" s="8"/>
      <c r="E23" s="42">
        <v>2850</v>
      </c>
      <c r="F23" s="7">
        <f t="shared" si="0"/>
        <v>0</v>
      </c>
      <c r="G23" s="8"/>
      <c r="H23" s="7">
        <f t="shared" si="1"/>
        <v>0</v>
      </c>
      <c r="I23" s="7"/>
      <c r="J23" s="8" t="s">
        <v>19</v>
      </c>
      <c r="K23" s="8"/>
      <c r="L23" s="8"/>
      <c r="M23" s="8"/>
      <c r="N23" s="9" t="s">
        <v>84</v>
      </c>
      <c r="O23" s="8"/>
      <c r="P23" s="14">
        <f t="shared" si="2"/>
        <v>4560</v>
      </c>
      <c r="Q23" s="15">
        <f t="shared" si="3"/>
        <v>0.6</v>
      </c>
      <c r="R23" s="7">
        <f t="shared" si="4"/>
        <v>0</v>
      </c>
      <c r="S23" s="8"/>
      <c r="T23" s="14">
        <f t="shared" si="5"/>
        <v>5130</v>
      </c>
      <c r="U23" s="15">
        <f t="shared" si="6"/>
        <v>0.8</v>
      </c>
      <c r="V23" s="7">
        <f t="shared" si="7"/>
        <v>0</v>
      </c>
      <c r="W23" s="8"/>
      <c r="X23" s="14">
        <f t="shared" si="8"/>
        <v>5842.4999999999991</v>
      </c>
      <c r="Y23" s="15">
        <f t="shared" si="9"/>
        <v>1.0499999999999996</v>
      </c>
      <c r="Z23" s="7">
        <f t="shared" si="10"/>
        <v>0</v>
      </c>
      <c r="AA23" s="8" t="s">
        <v>85</v>
      </c>
      <c r="AB23" s="8" t="s">
        <v>86</v>
      </c>
      <c r="AC23" s="8" t="s">
        <v>87</v>
      </c>
    </row>
    <row r="24" spans="1:31" hidden="1" x14ac:dyDescent="0.3">
      <c r="A24" s="10">
        <v>424</v>
      </c>
      <c r="B24" s="8"/>
      <c r="C24" s="8">
        <v>0</v>
      </c>
      <c r="D24" s="8"/>
      <c r="E24" s="42">
        <v>2800</v>
      </c>
      <c r="F24" s="7">
        <f t="shared" si="0"/>
        <v>0</v>
      </c>
      <c r="G24" s="8"/>
      <c r="H24" s="7">
        <f t="shared" si="1"/>
        <v>0</v>
      </c>
      <c r="I24" s="7"/>
      <c r="J24" s="8" t="s">
        <v>19</v>
      </c>
      <c r="K24" s="8"/>
      <c r="L24" s="8"/>
      <c r="M24" s="8"/>
      <c r="N24" s="9" t="s">
        <v>88</v>
      </c>
      <c r="O24" s="8"/>
      <c r="P24" s="14">
        <f t="shared" si="2"/>
        <v>4480</v>
      </c>
      <c r="Q24" s="15">
        <f t="shared" si="3"/>
        <v>0.6</v>
      </c>
      <c r="R24" s="7">
        <f t="shared" si="4"/>
        <v>0</v>
      </c>
      <c r="S24" s="8"/>
      <c r="T24" s="14">
        <f t="shared" si="5"/>
        <v>5040</v>
      </c>
      <c r="U24" s="15">
        <f t="shared" si="6"/>
        <v>0.8</v>
      </c>
      <c r="V24" s="7">
        <f t="shared" si="7"/>
        <v>0</v>
      </c>
      <c r="W24" s="8"/>
      <c r="X24" s="14">
        <f t="shared" si="8"/>
        <v>5739.9999999999991</v>
      </c>
      <c r="Y24" s="15">
        <f t="shared" si="9"/>
        <v>1.0499999999999996</v>
      </c>
      <c r="Z24" s="7">
        <f t="shared" si="10"/>
        <v>0</v>
      </c>
      <c r="AA24" s="8" t="s">
        <v>89</v>
      </c>
      <c r="AB24" s="8" t="s">
        <v>90</v>
      </c>
      <c r="AC24" s="8"/>
      <c r="AD24" s="35"/>
      <c r="AE24" s="35"/>
    </row>
    <row r="25" spans="1:31" hidden="1" x14ac:dyDescent="0.3">
      <c r="A25" s="10">
        <v>425</v>
      </c>
      <c r="B25" s="8"/>
      <c r="C25" s="8">
        <v>0</v>
      </c>
      <c r="D25" s="8"/>
      <c r="E25" s="42">
        <v>300</v>
      </c>
      <c r="F25" s="7">
        <f t="shared" si="0"/>
        <v>0</v>
      </c>
      <c r="G25" s="8"/>
      <c r="H25" s="7">
        <f t="shared" si="1"/>
        <v>0</v>
      </c>
      <c r="I25" s="7"/>
      <c r="J25" s="8" t="s">
        <v>19</v>
      </c>
      <c r="K25" s="8"/>
      <c r="L25" s="8"/>
      <c r="M25" s="8"/>
      <c r="N25" s="9" t="s">
        <v>91</v>
      </c>
      <c r="O25" s="8"/>
      <c r="P25" s="14">
        <f t="shared" si="2"/>
        <v>480</v>
      </c>
      <c r="Q25" s="15">
        <f t="shared" si="3"/>
        <v>0.6</v>
      </c>
      <c r="R25" s="7">
        <f t="shared" si="4"/>
        <v>0</v>
      </c>
      <c r="S25" s="8"/>
      <c r="T25" s="14">
        <f t="shared" si="5"/>
        <v>540</v>
      </c>
      <c r="U25" s="15">
        <f t="shared" si="6"/>
        <v>0.8</v>
      </c>
      <c r="V25" s="7">
        <f t="shared" si="7"/>
        <v>0</v>
      </c>
      <c r="W25" s="8"/>
      <c r="X25" s="14">
        <f t="shared" si="8"/>
        <v>615</v>
      </c>
      <c r="Y25" s="15">
        <f t="shared" si="9"/>
        <v>1.05</v>
      </c>
      <c r="Z25" s="7">
        <f t="shared" si="10"/>
        <v>0</v>
      </c>
      <c r="AA25" s="8" t="s">
        <v>92</v>
      </c>
      <c r="AB25" s="8" t="s">
        <v>93</v>
      </c>
      <c r="AC25" s="8" t="s">
        <v>94</v>
      </c>
    </row>
    <row r="26" spans="1:31" ht="17.25" hidden="1" customHeight="1" x14ac:dyDescent="0.3">
      <c r="A26" s="10">
        <v>426</v>
      </c>
      <c r="B26" s="8"/>
      <c r="C26" s="8">
        <v>0</v>
      </c>
      <c r="D26" s="8"/>
      <c r="E26" s="42">
        <v>1600</v>
      </c>
      <c r="F26" s="7">
        <f t="shared" si="0"/>
        <v>0</v>
      </c>
      <c r="G26" s="8"/>
      <c r="H26" s="7">
        <f t="shared" si="1"/>
        <v>0</v>
      </c>
      <c r="I26" s="7"/>
      <c r="J26" s="8" t="s">
        <v>19</v>
      </c>
      <c r="K26" s="8"/>
      <c r="L26" s="8"/>
      <c r="M26" s="8"/>
      <c r="N26" s="9" t="s">
        <v>95</v>
      </c>
      <c r="O26" s="8"/>
      <c r="P26" s="14">
        <f t="shared" si="2"/>
        <v>2560</v>
      </c>
      <c r="Q26" s="15">
        <f t="shared" si="3"/>
        <v>0.6</v>
      </c>
      <c r="R26" s="7">
        <f t="shared" si="4"/>
        <v>0</v>
      </c>
      <c r="S26" s="8"/>
      <c r="T26" s="14">
        <f t="shared" si="5"/>
        <v>2880</v>
      </c>
      <c r="U26" s="15">
        <f t="shared" si="6"/>
        <v>0.8</v>
      </c>
      <c r="V26" s="7">
        <f t="shared" si="7"/>
        <v>0</v>
      </c>
      <c r="W26" s="8"/>
      <c r="X26" s="14">
        <f t="shared" si="8"/>
        <v>3279.9999999999995</v>
      </c>
      <c r="Y26" s="15">
        <f t="shared" si="9"/>
        <v>1.0499999999999998</v>
      </c>
      <c r="Z26" s="7">
        <f t="shared" si="10"/>
        <v>0</v>
      </c>
      <c r="AA26" s="8" t="s">
        <v>96</v>
      </c>
      <c r="AB26" s="8" t="s">
        <v>97</v>
      </c>
      <c r="AC26" s="8" t="s">
        <v>98</v>
      </c>
    </row>
    <row r="27" spans="1:31" hidden="1" x14ac:dyDescent="0.3">
      <c r="A27" s="10">
        <v>427</v>
      </c>
      <c r="B27" s="8"/>
      <c r="C27" s="8">
        <v>0</v>
      </c>
      <c r="D27" s="8"/>
      <c r="E27" s="42">
        <v>1950</v>
      </c>
      <c r="F27" s="7">
        <f t="shared" si="0"/>
        <v>0</v>
      </c>
      <c r="G27" s="8"/>
      <c r="H27" s="7">
        <f t="shared" si="1"/>
        <v>0</v>
      </c>
      <c r="I27" s="7"/>
      <c r="J27" s="8" t="s">
        <v>19</v>
      </c>
      <c r="K27" s="8"/>
      <c r="L27" s="8"/>
      <c r="M27" s="8"/>
      <c r="N27" s="9" t="s">
        <v>99</v>
      </c>
      <c r="O27" s="8"/>
      <c r="P27" s="14">
        <f t="shared" si="2"/>
        <v>3120</v>
      </c>
      <c r="Q27" s="15">
        <f t="shared" si="3"/>
        <v>0.6</v>
      </c>
      <c r="R27" s="7">
        <f t="shared" si="4"/>
        <v>0</v>
      </c>
      <c r="S27" s="8"/>
      <c r="T27" s="14">
        <f t="shared" si="5"/>
        <v>3510</v>
      </c>
      <c r="U27" s="15">
        <f t="shared" si="6"/>
        <v>0.8</v>
      </c>
      <c r="V27" s="7">
        <f t="shared" si="7"/>
        <v>0</v>
      </c>
      <c r="W27" s="8"/>
      <c r="X27" s="14">
        <f t="shared" si="8"/>
        <v>3997.4999999999995</v>
      </c>
      <c r="Y27" s="15">
        <f t="shared" si="9"/>
        <v>1.0499999999999998</v>
      </c>
      <c r="Z27" s="7">
        <f t="shared" si="10"/>
        <v>0</v>
      </c>
      <c r="AA27" s="8" t="s">
        <v>100</v>
      </c>
      <c r="AB27" s="8" t="s">
        <v>101</v>
      </c>
      <c r="AC27" s="8" t="s">
        <v>102</v>
      </c>
    </row>
    <row r="28" spans="1:31" hidden="1" x14ac:dyDescent="0.3">
      <c r="A28" s="10">
        <v>428</v>
      </c>
      <c r="B28" s="8"/>
      <c r="C28" s="8">
        <v>0</v>
      </c>
      <c r="D28" s="8"/>
      <c r="E28" s="42">
        <v>1378</v>
      </c>
      <c r="F28" s="7">
        <f t="shared" si="0"/>
        <v>0</v>
      </c>
      <c r="G28" s="8"/>
      <c r="H28" s="7">
        <f t="shared" si="1"/>
        <v>0</v>
      </c>
      <c r="I28" s="7"/>
      <c r="J28" s="8" t="s">
        <v>19</v>
      </c>
      <c r="K28" s="8"/>
      <c r="L28" s="8"/>
      <c r="M28" s="8"/>
      <c r="N28" s="9" t="s">
        <v>103</v>
      </c>
      <c r="O28" s="8"/>
      <c r="P28" s="14">
        <f t="shared" si="2"/>
        <v>2204.8000000000002</v>
      </c>
      <c r="Q28" s="15">
        <f t="shared" si="3"/>
        <v>0.60000000000000009</v>
      </c>
      <c r="R28" s="7">
        <f t="shared" si="4"/>
        <v>0</v>
      </c>
      <c r="S28" s="8"/>
      <c r="T28" s="14">
        <f t="shared" si="5"/>
        <v>2480.4</v>
      </c>
      <c r="U28" s="15">
        <f t="shared" si="6"/>
        <v>0.8</v>
      </c>
      <c r="V28" s="7">
        <f t="shared" si="7"/>
        <v>0</v>
      </c>
      <c r="W28" s="8"/>
      <c r="X28" s="14">
        <f t="shared" si="8"/>
        <v>2824.8999999999996</v>
      </c>
      <c r="Y28" s="15">
        <f t="shared" si="9"/>
        <v>1.0499999999999998</v>
      </c>
      <c r="Z28" s="7">
        <f t="shared" si="10"/>
        <v>0</v>
      </c>
      <c r="AA28" s="8" t="s">
        <v>104</v>
      </c>
      <c r="AB28" s="8" t="s">
        <v>105</v>
      </c>
      <c r="AC28" s="8"/>
    </row>
    <row r="29" spans="1:31" hidden="1" x14ac:dyDescent="0.3">
      <c r="A29" s="10">
        <v>429</v>
      </c>
      <c r="B29" s="8"/>
      <c r="C29" s="8">
        <v>0</v>
      </c>
      <c r="D29" s="8"/>
      <c r="E29" s="42">
        <v>2538</v>
      </c>
      <c r="F29" s="7">
        <f t="shared" si="0"/>
        <v>0</v>
      </c>
      <c r="G29" s="8"/>
      <c r="H29" s="7">
        <f t="shared" si="1"/>
        <v>0</v>
      </c>
      <c r="I29" s="7"/>
      <c r="J29" s="8" t="s">
        <v>19</v>
      </c>
      <c r="K29" s="8"/>
      <c r="L29" s="8"/>
      <c r="M29" s="8"/>
      <c r="N29" s="9" t="s">
        <v>106</v>
      </c>
      <c r="O29" s="8"/>
      <c r="P29" s="14">
        <f t="shared" si="2"/>
        <v>4060.8</v>
      </c>
      <c r="Q29" s="15">
        <f t="shared" si="3"/>
        <v>0.60000000000000009</v>
      </c>
      <c r="R29" s="7">
        <f t="shared" si="4"/>
        <v>0</v>
      </c>
      <c r="S29" s="8"/>
      <c r="T29" s="14">
        <f t="shared" si="5"/>
        <v>4568.4000000000005</v>
      </c>
      <c r="U29" s="15">
        <f t="shared" si="6"/>
        <v>0.80000000000000027</v>
      </c>
      <c r="V29" s="7">
        <f t="shared" si="7"/>
        <v>0</v>
      </c>
      <c r="W29" s="8"/>
      <c r="X29" s="14">
        <f t="shared" si="8"/>
        <v>5202.8999999999996</v>
      </c>
      <c r="Y29" s="15">
        <f t="shared" si="9"/>
        <v>1.0499999999999998</v>
      </c>
      <c r="Z29" s="7">
        <f t="shared" si="10"/>
        <v>0</v>
      </c>
      <c r="AA29" s="8" t="s">
        <v>107</v>
      </c>
      <c r="AB29" s="8" t="s">
        <v>108</v>
      </c>
      <c r="AC29" s="8"/>
    </row>
    <row r="30" spans="1:31" hidden="1" x14ac:dyDescent="0.3">
      <c r="A30" s="10">
        <v>430</v>
      </c>
      <c r="B30" s="8"/>
      <c r="C30" s="8">
        <v>0</v>
      </c>
      <c r="D30" s="8"/>
      <c r="E30" s="42">
        <v>13900</v>
      </c>
      <c r="F30" s="7">
        <f t="shared" si="0"/>
        <v>0</v>
      </c>
      <c r="G30" s="8"/>
      <c r="H30" s="7">
        <f t="shared" si="1"/>
        <v>0</v>
      </c>
      <c r="I30" s="7"/>
      <c r="J30" s="8" t="s">
        <v>19</v>
      </c>
      <c r="K30" s="8"/>
      <c r="L30" s="8"/>
      <c r="M30" s="8"/>
      <c r="N30" s="9" t="s">
        <v>109</v>
      </c>
      <c r="O30" s="8"/>
      <c r="P30" s="14">
        <f t="shared" si="2"/>
        <v>22240</v>
      </c>
      <c r="Q30" s="15">
        <f t="shared" si="3"/>
        <v>0.6</v>
      </c>
      <c r="R30" s="7">
        <f t="shared" si="4"/>
        <v>0</v>
      </c>
      <c r="S30" s="8"/>
      <c r="T30" s="14">
        <f t="shared" si="5"/>
        <v>25020</v>
      </c>
      <c r="U30" s="15">
        <f t="shared" si="6"/>
        <v>0.8</v>
      </c>
      <c r="V30" s="7">
        <f t="shared" si="7"/>
        <v>0</v>
      </c>
      <c r="W30" s="8"/>
      <c r="X30" s="14">
        <f t="shared" si="8"/>
        <v>28494.999999999996</v>
      </c>
      <c r="Y30" s="15">
        <f t="shared" si="9"/>
        <v>1.0499999999999998</v>
      </c>
      <c r="Z30" s="7">
        <f t="shared" si="10"/>
        <v>0</v>
      </c>
      <c r="AA30" s="8" t="s">
        <v>110</v>
      </c>
      <c r="AB30" s="8" t="s">
        <v>111</v>
      </c>
      <c r="AC30" s="8"/>
    </row>
    <row r="31" spans="1:31" hidden="1" x14ac:dyDescent="0.3">
      <c r="A31" s="10">
        <v>431</v>
      </c>
      <c r="B31" s="8"/>
      <c r="C31" s="8">
        <v>0</v>
      </c>
      <c r="D31" s="8"/>
      <c r="E31" s="42">
        <v>15000</v>
      </c>
      <c r="F31" s="7">
        <f t="shared" si="0"/>
        <v>0</v>
      </c>
      <c r="G31" s="8"/>
      <c r="H31" s="7">
        <f t="shared" si="1"/>
        <v>0</v>
      </c>
      <c r="I31" s="7"/>
      <c r="J31" s="8" t="s">
        <v>112</v>
      </c>
      <c r="K31" s="8"/>
      <c r="L31" s="8"/>
      <c r="M31" s="8"/>
      <c r="N31" s="9" t="s">
        <v>113</v>
      </c>
      <c r="O31" s="8"/>
      <c r="P31" s="14">
        <f t="shared" si="2"/>
        <v>24000</v>
      </c>
      <c r="Q31" s="15">
        <f t="shared" si="3"/>
        <v>0.6</v>
      </c>
      <c r="R31" s="7">
        <f t="shared" si="4"/>
        <v>0</v>
      </c>
      <c r="S31" s="8"/>
      <c r="T31" s="14">
        <f t="shared" si="5"/>
        <v>27000</v>
      </c>
      <c r="U31" s="15">
        <f t="shared" si="6"/>
        <v>0.8</v>
      </c>
      <c r="V31" s="7">
        <f t="shared" si="7"/>
        <v>0</v>
      </c>
      <c r="W31" s="8"/>
      <c r="X31" s="14">
        <f t="shared" si="8"/>
        <v>30749.999999999996</v>
      </c>
      <c r="Y31" s="15">
        <f t="shared" si="9"/>
        <v>1.0499999999999998</v>
      </c>
      <c r="Z31" s="7">
        <f t="shared" si="10"/>
        <v>0</v>
      </c>
      <c r="AA31" s="8" t="s">
        <v>114</v>
      </c>
      <c r="AB31" s="8" t="s">
        <v>115</v>
      </c>
      <c r="AC31" s="8" t="s">
        <v>116</v>
      </c>
    </row>
    <row r="32" spans="1:31" hidden="1" x14ac:dyDescent="0.3">
      <c r="A32" s="10">
        <v>432</v>
      </c>
      <c r="B32" s="8"/>
      <c r="C32" s="8">
        <v>0</v>
      </c>
      <c r="D32" s="8"/>
      <c r="E32" s="42">
        <v>9500</v>
      </c>
      <c r="F32" s="7">
        <f t="shared" si="0"/>
        <v>0</v>
      </c>
      <c r="G32" s="8"/>
      <c r="H32" s="7">
        <f t="shared" si="1"/>
        <v>0</v>
      </c>
      <c r="I32" s="7"/>
      <c r="J32" s="8" t="s">
        <v>117</v>
      </c>
      <c r="K32" s="8"/>
      <c r="L32" s="8"/>
      <c r="M32" s="8"/>
      <c r="N32" s="9" t="s">
        <v>118</v>
      </c>
      <c r="O32" s="8"/>
      <c r="P32" s="14">
        <f t="shared" si="2"/>
        <v>15200</v>
      </c>
      <c r="Q32" s="15">
        <f t="shared" si="3"/>
        <v>0.6</v>
      </c>
      <c r="R32" s="7">
        <f t="shared" si="4"/>
        <v>0</v>
      </c>
      <c r="S32" s="8"/>
      <c r="T32" s="14">
        <f t="shared" si="5"/>
        <v>17100</v>
      </c>
      <c r="U32" s="15">
        <f t="shared" si="6"/>
        <v>0.8</v>
      </c>
      <c r="V32" s="7">
        <f t="shared" si="7"/>
        <v>0</v>
      </c>
      <c r="W32" s="8"/>
      <c r="X32" s="14">
        <f t="shared" si="8"/>
        <v>19475</v>
      </c>
      <c r="Y32" s="15">
        <f t="shared" si="9"/>
        <v>1.05</v>
      </c>
      <c r="Z32" s="7">
        <f t="shared" si="10"/>
        <v>0</v>
      </c>
      <c r="AA32" s="8" t="s">
        <v>119</v>
      </c>
      <c r="AB32" s="8" t="s">
        <v>120</v>
      </c>
      <c r="AC32" s="8"/>
    </row>
    <row r="33" spans="1:29" hidden="1" x14ac:dyDescent="0.3">
      <c r="A33" s="10">
        <v>433</v>
      </c>
      <c r="B33" s="8"/>
      <c r="C33" s="8">
        <v>0</v>
      </c>
      <c r="D33" s="8"/>
      <c r="E33" s="42">
        <v>7700</v>
      </c>
      <c r="F33" s="7">
        <f t="shared" si="0"/>
        <v>0</v>
      </c>
      <c r="G33" s="8"/>
      <c r="H33" s="7">
        <f t="shared" si="1"/>
        <v>0</v>
      </c>
      <c r="I33" s="7"/>
      <c r="J33" s="8" t="s">
        <v>117</v>
      </c>
      <c r="K33" s="8"/>
      <c r="L33" s="8"/>
      <c r="M33" s="8"/>
      <c r="N33" s="9" t="s">
        <v>121</v>
      </c>
      <c r="O33" s="8"/>
      <c r="P33" s="14">
        <f t="shared" si="2"/>
        <v>12320</v>
      </c>
      <c r="Q33" s="15">
        <f t="shared" si="3"/>
        <v>0.6</v>
      </c>
      <c r="R33" s="7">
        <f t="shared" si="4"/>
        <v>0</v>
      </c>
      <c r="S33" s="8"/>
      <c r="T33" s="14">
        <f t="shared" si="5"/>
        <v>13860</v>
      </c>
      <c r="U33" s="15">
        <f t="shared" si="6"/>
        <v>0.8</v>
      </c>
      <c r="V33" s="7">
        <f t="shared" si="7"/>
        <v>0</v>
      </c>
      <c r="W33" s="8"/>
      <c r="X33" s="14">
        <f t="shared" si="8"/>
        <v>15784.999999999998</v>
      </c>
      <c r="Y33" s="15">
        <f t="shared" si="9"/>
        <v>1.0499999999999998</v>
      </c>
      <c r="Z33" s="7">
        <f t="shared" si="10"/>
        <v>0</v>
      </c>
      <c r="AA33" s="8" t="s">
        <v>122</v>
      </c>
      <c r="AB33" s="8" t="s">
        <v>123</v>
      </c>
      <c r="AC33" s="8" t="s">
        <v>124</v>
      </c>
    </row>
    <row r="34" spans="1:29" hidden="1" x14ac:dyDescent="0.3">
      <c r="A34" s="10">
        <v>434</v>
      </c>
      <c r="B34" s="8"/>
      <c r="C34" s="8">
        <v>0</v>
      </c>
      <c r="D34" s="8"/>
      <c r="E34" s="42">
        <v>325000</v>
      </c>
      <c r="F34" s="7">
        <f t="shared" si="0"/>
        <v>0</v>
      </c>
      <c r="G34" s="8"/>
      <c r="H34" s="7">
        <f t="shared" si="1"/>
        <v>0</v>
      </c>
      <c r="I34" s="7"/>
      <c r="J34" s="8" t="s">
        <v>125</v>
      </c>
      <c r="K34" s="8"/>
      <c r="L34" s="8"/>
      <c r="M34" s="8"/>
      <c r="N34" s="9" t="s">
        <v>126</v>
      </c>
      <c r="O34" s="8"/>
      <c r="P34" s="14">
        <f t="shared" ref="P34:P65" si="11">E34*1.6</f>
        <v>520000</v>
      </c>
      <c r="Q34" s="15">
        <f t="shared" si="3"/>
        <v>0.6</v>
      </c>
      <c r="R34" s="7">
        <f t="shared" si="4"/>
        <v>0</v>
      </c>
      <c r="S34" s="8"/>
      <c r="T34" s="14">
        <f t="shared" ref="T34:T65" si="12">E34*1.8</f>
        <v>585000</v>
      </c>
      <c r="U34" s="15">
        <f t="shared" ref="U34:U65" si="13">(T34-E34)/E34</f>
        <v>0.8</v>
      </c>
      <c r="V34" s="7">
        <f t="shared" ref="V34:V65" si="14">S34*T34</f>
        <v>0</v>
      </c>
      <c r="W34" s="8"/>
      <c r="X34" s="14">
        <f t="shared" ref="X34:X65" si="15">E34*2.05</f>
        <v>666250</v>
      </c>
      <c r="Y34" s="15">
        <f t="shared" ref="Y34:Y65" si="16">(X34-E34)/E34</f>
        <v>1.05</v>
      </c>
      <c r="Z34" s="7">
        <f t="shared" ref="Z34:Z65" si="17">W34*X34</f>
        <v>0</v>
      </c>
      <c r="AA34" s="8" t="s">
        <v>127</v>
      </c>
      <c r="AB34" s="8" t="s">
        <v>128</v>
      </c>
      <c r="AC34" s="8" t="s">
        <v>129</v>
      </c>
    </row>
    <row r="35" spans="1:29" hidden="1" x14ac:dyDescent="0.3">
      <c r="A35" s="10">
        <v>435</v>
      </c>
      <c r="B35" s="8"/>
      <c r="C35" s="8">
        <v>0</v>
      </c>
      <c r="D35" s="8"/>
      <c r="E35" s="42">
        <v>450</v>
      </c>
      <c r="F35" s="7">
        <f t="shared" si="0"/>
        <v>0</v>
      </c>
      <c r="G35" s="8"/>
      <c r="H35" s="7">
        <f t="shared" si="1"/>
        <v>0</v>
      </c>
      <c r="I35" s="7"/>
      <c r="J35" s="8" t="s">
        <v>130</v>
      </c>
      <c r="K35" s="8"/>
      <c r="L35" s="8"/>
      <c r="M35" s="8"/>
      <c r="N35" s="9" t="s">
        <v>131</v>
      </c>
      <c r="O35" s="8"/>
      <c r="P35" s="14">
        <f t="shared" si="11"/>
        <v>720</v>
      </c>
      <c r="Q35" s="15">
        <f t="shared" si="3"/>
        <v>0.6</v>
      </c>
      <c r="R35" s="7">
        <f t="shared" si="4"/>
        <v>0</v>
      </c>
      <c r="S35" s="8"/>
      <c r="T35" s="14">
        <f t="shared" si="12"/>
        <v>810</v>
      </c>
      <c r="U35" s="15">
        <f t="shared" si="13"/>
        <v>0.8</v>
      </c>
      <c r="V35" s="7">
        <f t="shared" si="14"/>
        <v>0</v>
      </c>
      <c r="W35" s="8"/>
      <c r="X35" s="14">
        <f t="shared" si="15"/>
        <v>922.49999999999989</v>
      </c>
      <c r="Y35" s="15">
        <f t="shared" si="16"/>
        <v>1.0499999999999998</v>
      </c>
      <c r="Z35" s="7">
        <f t="shared" si="17"/>
        <v>0</v>
      </c>
      <c r="AA35" s="8" t="s">
        <v>132</v>
      </c>
      <c r="AB35" s="8" t="s">
        <v>133</v>
      </c>
      <c r="AC35" s="8"/>
    </row>
    <row r="36" spans="1:29" hidden="1" x14ac:dyDescent="0.3">
      <c r="A36" s="10">
        <v>436</v>
      </c>
      <c r="B36" s="8"/>
      <c r="C36" s="8">
        <v>0</v>
      </c>
      <c r="D36" s="8"/>
      <c r="E36" s="42">
        <v>4700</v>
      </c>
      <c r="F36" s="7">
        <f t="shared" si="0"/>
        <v>0</v>
      </c>
      <c r="G36" s="8"/>
      <c r="H36" s="7">
        <f t="shared" si="1"/>
        <v>0</v>
      </c>
      <c r="I36" s="7"/>
      <c r="J36" s="8" t="s">
        <v>130</v>
      </c>
      <c r="K36" s="8"/>
      <c r="L36" s="8"/>
      <c r="M36" s="8"/>
      <c r="N36" s="9" t="s">
        <v>134</v>
      </c>
      <c r="O36" s="8"/>
      <c r="P36" s="14">
        <f t="shared" si="11"/>
        <v>7520</v>
      </c>
      <c r="Q36" s="15">
        <f t="shared" si="3"/>
        <v>0.6</v>
      </c>
      <c r="R36" s="7">
        <f t="shared" si="4"/>
        <v>0</v>
      </c>
      <c r="S36" s="8"/>
      <c r="T36" s="14">
        <f t="shared" si="12"/>
        <v>8460</v>
      </c>
      <c r="U36" s="15">
        <f t="shared" si="13"/>
        <v>0.8</v>
      </c>
      <c r="V36" s="7">
        <f t="shared" si="14"/>
        <v>0</v>
      </c>
      <c r="W36" s="8"/>
      <c r="X36" s="14">
        <f t="shared" si="15"/>
        <v>9635</v>
      </c>
      <c r="Y36" s="15">
        <f t="shared" si="16"/>
        <v>1.05</v>
      </c>
      <c r="Z36" s="7">
        <f t="shared" si="17"/>
        <v>0</v>
      </c>
      <c r="AA36" s="8" t="s">
        <v>135</v>
      </c>
      <c r="AB36" s="8" t="s">
        <v>136</v>
      </c>
      <c r="AC36" s="8" t="s">
        <v>137</v>
      </c>
    </row>
    <row r="37" spans="1:29" hidden="1" x14ac:dyDescent="0.3">
      <c r="A37" s="10">
        <v>437</v>
      </c>
      <c r="B37" s="8"/>
      <c r="C37" s="8">
        <v>0</v>
      </c>
      <c r="D37" s="8"/>
      <c r="E37" s="42">
        <v>6200</v>
      </c>
      <c r="F37" s="7">
        <f t="shared" si="0"/>
        <v>0</v>
      </c>
      <c r="G37" s="8"/>
      <c r="H37" s="7">
        <f t="shared" si="1"/>
        <v>0</v>
      </c>
      <c r="I37" s="7"/>
      <c r="J37" s="8" t="s">
        <v>130</v>
      </c>
      <c r="K37" s="8"/>
      <c r="L37" s="8"/>
      <c r="M37" s="8"/>
      <c r="N37" s="9" t="s">
        <v>138</v>
      </c>
      <c r="O37" s="8"/>
      <c r="P37" s="14">
        <f t="shared" si="11"/>
        <v>9920</v>
      </c>
      <c r="Q37" s="15">
        <f t="shared" si="3"/>
        <v>0.6</v>
      </c>
      <c r="R37" s="7">
        <f t="shared" si="4"/>
        <v>0</v>
      </c>
      <c r="S37" s="8"/>
      <c r="T37" s="14">
        <f t="shared" si="12"/>
        <v>11160</v>
      </c>
      <c r="U37" s="15">
        <f t="shared" si="13"/>
        <v>0.8</v>
      </c>
      <c r="V37" s="7">
        <f t="shared" si="14"/>
        <v>0</v>
      </c>
      <c r="W37" s="8"/>
      <c r="X37" s="14">
        <f t="shared" si="15"/>
        <v>12709.999999999998</v>
      </c>
      <c r="Y37" s="15">
        <f t="shared" si="16"/>
        <v>1.0499999999999996</v>
      </c>
      <c r="Z37" s="7">
        <f t="shared" si="17"/>
        <v>0</v>
      </c>
      <c r="AA37" s="8" t="s">
        <v>139</v>
      </c>
      <c r="AB37" s="8" t="s">
        <v>140</v>
      </c>
      <c r="AC37" s="8" t="s">
        <v>141</v>
      </c>
    </row>
    <row r="38" spans="1:29" hidden="1" x14ac:dyDescent="0.3">
      <c r="A38" s="10">
        <v>438</v>
      </c>
      <c r="B38" s="8"/>
      <c r="C38" s="8">
        <v>0</v>
      </c>
      <c r="D38" s="8"/>
      <c r="E38" s="42">
        <v>14000</v>
      </c>
      <c r="F38" s="7">
        <f t="shared" si="0"/>
        <v>0</v>
      </c>
      <c r="G38" s="8"/>
      <c r="H38" s="7">
        <f t="shared" si="1"/>
        <v>0</v>
      </c>
      <c r="I38" s="7"/>
      <c r="J38" s="8" t="s">
        <v>142</v>
      </c>
      <c r="K38" s="8"/>
      <c r="L38" s="8"/>
      <c r="M38" s="8"/>
      <c r="N38" s="9" t="s">
        <v>143</v>
      </c>
      <c r="O38" s="8"/>
      <c r="P38" s="14">
        <f t="shared" si="11"/>
        <v>22400</v>
      </c>
      <c r="Q38" s="15">
        <f t="shared" si="3"/>
        <v>0.6</v>
      </c>
      <c r="R38" s="7">
        <f t="shared" si="4"/>
        <v>0</v>
      </c>
      <c r="S38" s="8"/>
      <c r="T38" s="14">
        <f t="shared" si="12"/>
        <v>25200</v>
      </c>
      <c r="U38" s="15">
        <f t="shared" si="13"/>
        <v>0.8</v>
      </c>
      <c r="V38" s="7">
        <f t="shared" si="14"/>
        <v>0</v>
      </c>
      <c r="W38" s="8"/>
      <c r="X38" s="14">
        <f t="shared" si="15"/>
        <v>28699.999999999996</v>
      </c>
      <c r="Y38" s="15">
        <f t="shared" si="16"/>
        <v>1.0499999999999998</v>
      </c>
      <c r="Z38" s="7">
        <f t="shared" si="17"/>
        <v>0</v>
      </c>
      <c r="AA38" s="8" t="s">
        <v>144</v>
      </c>
      <c r="AB38" s="8" t="s">
        <v>145</v>
      </c>
      <c r="AC38" s="8" t="s">
        <v>146</v>
      </c>
    </row>
    <row r="39" spans="1:29" hidden="1" x14ac:dyDescent="0.3">
      <c r="A39" s="10">
        <v>439</v>
      </c>
      <c r="B39" s="8"/>
      <c r="C39" s="8">
        <v>0</v>
      </c>
      <c r="D39" s="8"/>
      <c r="E39" s="42">
        <v>92000</v>
      </c>
      <c r="F39" s="7">
        <f t="shared" si="0"/>
        <v>0</v>
      </c>
      <c r="G39" s="8"/>
      <c r="H39" s="7">
        <f t="shared" si="1"/>
        <v>0</v>
      </c>
      <c r="I39" s="7"/>
      <c r="J39" s="8" t="s">
        <v>142</v>
      </c>
      <c r="K39" s="8"/>
      <c r="L39" s="8"/>
      <c r="M39" s="8"/>
      <c r="N39" s="9" t="s">
        <v>147</v>
      </c>
      <c r="O39" s="8"/>
      <c r="P39" s="14">
        <f t="shared" si="11"/>
        <v>147200</v>
      </c>
      <c r="Q39" s="15">
        <f t="shared" si="3"/>
        <v>0.6</v>
      </c>
      <c r="R39" s="7">
        <f t="shared" si="4"/>
        <v>0</v>
      </c>
      <c r="S39" s="8"/>
      <c r="T39" s="14">
        <f t="shared" si="12"/>
        <v>165600</v>
      </c>
      <c r="U39" s="15">
        <f t="shared" si="13"/>
        <v>0.8</v>
      </c>
      <c r="V39" s="7">
        <f t="shared" si="14"/>
        <v>0</v>
      </c>
      <c r="W39" s="8"/>
      <c r="X39" s="14">
        <f t="shared" si="15"/>
        <v>188599.99999999997</v>
      </c>
      <c r="Y39" s="15">
        <f t="shared" si="16"/>
        <v>1.0499999999999996</v>
      </c>
      <c r="Z39" s="7">
        <f t="shared" si="17"/>
        <v>0</v>
      </c>
      <c r="AA39" s="8" t="s">
        <v>148</v>
      </c>
      <c r="AB39" s="8" t="s">
        <v>149</v>
      </c>
      <c r="AC39" s="8" t="s">
        <v>150</v>
      </c>
    </row>
    <row r="40" spans="1:29" hidden="1" x14ac:dyDescent="0.3">
      <c r="A40" s="10">
        <v>440</v>
      </c>
      <c r="B40" s="8"/>
      <c r="C40" s="8">
        <v>0</v>
      </c>
      <c r="D40" s="8"/>
      <c r="E40" s="42">
        <v>14999</v>
      </c>
      <c r="F40" s="7">
        <f t="shared" si="0"/>
        <v>0</v>
      </c>
      <c r="G40" s="8"/>
      <c r="H40" s="7">
        <f t="shared" si="1"/>
        <v>0</v>
      </c>
      <c r="I40" s="7"/>
      <c r="J40" s="8" t="s">
        <v>142</v>
      </c>
      <c r="K40" s="8"/>
      <c r="L40" s="8"/>
      <c r="M40" s="8"/>
      <c r="N40" s="9" t="s">
        <v>151</v>
      </c>
      <c r="O40" s="8"/>
      <c r="P40" s="14">
        <f t="shared" si="11"/>
        <v>23998.400000000001</v>
      </c>
      <c r="Q40" s="15">
        <f t="shared" si="3"/>
        <v>0.60000000000000009</v>
      </c>
      <c r="R40" s="7">
        <f t="shared" si="4"/>
        <v>0</v>
      </c>
      <c r="S40" s="8"/>
      <c r="T40" s="14">
        <f t="shared" si="12"/>
        <v>26998.2</v>
      </c>
      <c r="U40" s="15">
        <f t="shared" si="13"/>
        <v>0.8</v>
      </c>
      <c r="V40" s="7">
        <f t="shared" si="14"/>
        <v>0</v>
      </c>
      <c r="W40" s="8"/>
      <c r="X40" s="14">
        <f t="shared" si="15"/>
        <v>30747.949999999997</v>
      </c>
      <c r="Y40" s="15">
        <f t="shared" si="16"/>
        <v>1.0499999999999998</v>
      </c>
      <c r="Z40" s="7">
        <f t="shared" si="17"/>
        <v>0</v>
      </c>
      <c r="AA40" s="8" t="s">
        <v>152</v>
      </c>
      <c r="AB40" s="8" t="s">
        <v>153</v>
      </c>
      <c r="AC40" s="8" t="s">
        <v>154</v>
      </c>
    </row>
    <row r="41" spans="1:29" hidden="1" x14ac:dyDescent="0.3">
      <c r="A41" s="10">
        <v>441</v>
      </c>
      <c r="B41" s="8"/>
      <c r="C41" s="8">
        <v>0</v>
      </c>
      <c r="D41" s="8"/>
      <c r="E41" s="42">
        <v>35198</v>
      </c>
      <c r="F41" s="7">
        <f t="shared" si="0"/>
        <v>0</v>
      </c>
      <c r="G41" s="8"/>
      <c r="H41" s="7">
        <f t="shared" si="1"/>
        <v>0</v>
      </c>
      <c r="I41" s="7"/>
      <c r="J41" s="8" t="s">
        <v>142</v>
      </c>
      <c r="K41" s="8"/>
      <c r="L41" s="8"/>
      <c r="M41" s="8"/>
      <c r="N41" s="9" t="s">
        <v>155</v>
      </c>
      <c r="O41" s="8"/>
      <c r="P41" s="14">
        <f t="shared" si="11"/>
        <v>56316.800000000003</v>
      </c>
      <c r="Q41" s="15">
        <f t="shared" si="3"/>
        <v>0.60000000000000009</v>
      </c>
      <c r="R41" s="7">
        <f t="shared" si="4"/>
        <v>0</v>
      </c>
      <c r="S41" s="8"/>
      <c r="T41" s="14">
        <f t="shared" si="12"/>
        <v>63356.4</v>
      </c>
      <c r="U41" s="15">
        <f t="shared" si="13"/>
        <v>0.8</v>
      </c>
      <c r="V41" s="7">
        <f t="shared" si="14"/>
        <v>0</v>
      </c>
      <c r="W41" s="8"/>
      <c r="X41" s="14">
        <f t="shared" si="15"/>
        <v>72155.899999999994</v>
      </c>
      <c r="Y41" s="15">
        <f t="shared" si="16"/>
        <v>1.0499999999999998</v>
      </c>
      <c r="Z41" s="7">
        <f t="shared" si="17"/>
        <v>0</v>
      </c>
      <c r="AA41" s="8" t="s">
        <v>156</v>
      </c>
      <c r="AB41" s="8" t="s">
        <v>157</v>
      </c>
      <c r="AC41" s="8" t="s">
        <v>158</v>
      </c>
    </row>
    <row r="42" spans="1:29" hidden="1" x14ac:dyDescent="0.3">
      <c r="A42" s="10">
        <v>442</v>
      </c>
      <c r="B42" s="8"/>
      <c r="C42" s="8">
        <v>0</v>
      </c>
      <c r="D42" s="8"/>
      <c r="E42" s="42">
        <v>645</v>
      </c>
      <c r="F42" s="7">
        <f t="shared" si="0"/>
        <v>0</v>
      </c>
      <c r="G42" s="8"/>
      <c r="H42" s="7">
        <f t="shared" si="1"/>
        <v>0</v>
      </c>
      <c r="I42" s="7"/>
      <c r="J42" s="8" t="s">
        <v>159</v>
      </c>
      <c r="K42" s="8"/>
      <c r="L42" s="8"/>
      <c r="M42" s="8"/>
      <c r="N42" s="9" t="s">
        <v>160</v>
      </c>
      <c r="O42" s="8"/>
      <c r="P42" s="14">
        <f t="shared" si="11"/>
        <v>1032</v>
      </c>
      <c r="Q42" s="15">
        <f t="shared" si="3"/>
        <v>0.6</v>
      </c>
      <c r="R42" s="7">
        <f t="shared" si="4"/>
        <v>0</v>
      </c>
      <c r="S42" s="8"/>
      <c r="T42" s="14">
        <f t="shared" si="12"/>
        <v>1161</v>
      </c>
      <c r="U42" s="15">
        <f t="shared" si="13"/>
        <v>0.8</v>
      </c>
      <c r="V42" s="7">
        <f t="shared" si="14"/>
        <v>0</v>
      </c>
      <c r="W42" s="8"/>
      <c r="X42" s="14">
        <f t="shared" si="15"/>
        <v>1322.2499999999998</v>
      </c>
      <c r="Y42" s="15">
        <f t="shared" si="16"/>
        <v>1.0499999999999996</v>
      </c>
      <c r="Z42" s="7">
        <f t="shared" si="17"/>
        <v>0</v>
      </c>
      <c r="AA42" s="8" t="s">
        <v>161</v>
      </c>
      <c r="AB42" s="8" t="s">
        <v>162</v>
      </c>
      <c r="AC42" s="8"/>
    </row>
    <row r="43" spans="1:29" hidden="1" x14ac:dyDescent="0.3">
      <c r="A43" s="10">
        <v>443</v>
      </c>
      <c r="B43" s="8"/>
      <c r="C43" s="8">
        <v>0</v>
      </c>
      <c r="D43" s="8"/>
      <c r="E43" s="42">
        <v>645</v>
      </c>
      <c r="F43" s="7">
        <f t="shared" si="0"/>
        <v>0</v>
      </c>
      <c r="G43" s="8"/>
      <c r="H43" s="7">
        <f t="shared" si="1"/>
        <v>0</v>
      </c>
      <c r="I43" s="7"/>
      <c r="J43" s="8" t="s">
        <v>159</v>
      </c>
      <c r="K43" s="8"/>
      <c r="L43" s="8"/>
      <c r="M43" s="8"/>
      <c r="N43" s="9" t="s">
        <v>163</v>
      </c>
      <c r="O43" s="8"/>
      <c r="P43" s="14">
        <f t="shared" si="11"/>
        <v>1032</v>
      </c>
      <c r="Q43" s="15">
        <f t="shared" si="3"/>
        <v>0.6</v>
      </c>
      <c r="R43" s="7">
        <f t="shared" si="4"/>
        <v>0</v>
      </c>
      <c r="S43" s="8"/>
      <c r="T43" s="14">
        <f t="shared" si="12"/>
        <v>1161</v>
      </c>
      <c r="U43" s="15">
        <f t="shared" si="13"/>
        <v>0.8</v>
      </c>
      <c r="V43" s="7">
        <f t="shared" si="14"/>
        <v>0</v>
      </c>
      <c r="W43" s="8"/>
      <c r="X43" s="14">
        <f t="shared" si="15"/>
        <v>1322.2499999999998</v>
      </c>
      <c r="Y43" s="15">
        <f t="shared" si="16"/>
        <v>1.0499999999999996</v>
      </c>
      <c r="Z43" s="7">
        <f t="shared" si="17"/>
        <v>0</v>
      </c>
      <c r="AA43" s="8" t="s">
        <v>164</v>
      </c>
      <c r="AB43" s="8" t="s">
        <v>165</v>
      </c>
      <c r="AC43" s="8"/>
    </row>
    <row r="44" spans="1:29" hidden="1" x14ac:dyDescent="0.3">
      <c r="A44" s="10">
        <v>444</v>
      </c>
      <c r="B44" s="8"/>
      <c r="C44" s="8">
        <v>0</v>
      </c>
      <c r="D44" s="8"/>
      <c r="E44" s="42">
        <v>1450</v>
      </c>
      <c r="F44" s="7">
        <f t="shared" si="0"/>
        <v>0</v>
      </c>
      <c r="G44" s="8"/>
      <c r="H44" s="7">
        <f t="shared" si="1"/>
        <v>0</v>
      </c>
      <c r="I44" s="7"/>
      <c r="J44" s="8" t="s">
        <v>166</v>
      </c>
      <c r="K44" s="8"/>
      <c r="L44" s="8"/>
      <c r="M44" s="8"/>
      <c r="N44" s="9" t="s">
        <v>167</v>
      </c>
      <c r="O44" s="8"/>
      <c r="P44" s="14">
        <f t="shared" si="11"/>
        <v>2320</v>
      </c>
      <c r="Q44" s="15">
        <f t="shared" si="3"/>
        <v>0.6</v>
      </c>
      <c r="R44" s="7">
        <f t="shared" si="4"/>
        <v>0</v>
      </c>
      <c r="S44" s="8"/>
      <c r="T44" s="14">
        <f t="shared" si="12"/>
        <v>2610</v>
      </c>
      <c r="U44" s="15">
        <f t="shared" si="13"/>
        <v>0.8</v>
      </c>
      <c r="V44" s="7">
        <f t="shared" si="14"/>
        <v>0</v>
      </c>
      <c r="W44" s="8"/>
      <c r="X44" s="14">
        <f t="shared" si="15"/>
        <v>2972.4999999999995</v>
      </c>
      <c r="Y44" s="15">
        <f t="shared" si="16"/>
        <v>1.0499999999999996</v>
      </c>
      <c r="Z44" s="7">
        <f t="shared" si="17"/>
        <v>0</v>
      </c>
      <c r="AA44" s="8" t="s">
        <v>168</v>
      </c>
      <c r="AB44" s="8" t="s">
        <v>169</v>
      </c>
      <c r="AC44" s="8" t="s">
        <v>170</v>
      </c>
    </row>
    <row r="45" spans="1:29" hidden="1" x14ac:dyDescent="0.3">
      <c r="A45" s="10">
        <v>445</v>
      </c>
      <c r="B45" s="8"/>
      <c r="C45" s="8">
        <v>0</v>
      </c>
      <c r="D45" s="8"/>
      <c r="E45" s="42">
        <v>2800</v>
      </c>
      <c r="F45" s="7">
        <f t="shared" si="0"/>
        <v>0</v>
      </c>
      <c r="G45" s="8"/>
      <c r="H45" s="7">
        <f t="shared" si="1"/>
        <v>0</v>
      </c>
      <c r="I45" s="7"/>
      <c r="J45" s="8" t="s">
        <v>166</v>
      </c>
      <c r="K45" s="8"/>
      <c r="L45" s="8"/>
      <c r="M45" s="8"/>
      <c r="N45" s="9" t="s">
        <v>171</v>
      </c>
      <c r="O45" s="8"/>
      <c r="P45" s="14">
        <f t="shared" si="11"/>
        <v>4480</v>
      </c>
      <c r="Q45" s="15">
        <f t="shared" si="3"/>
        <v>0.6</v>
      </c>
      <c r="R45" s="7">
        <f t="shared" si="4"/>
        <v>0</v>
      </c>
      <c r="S45" s="8"/>
      <c r="T45" s="14">
        <f t="shared" si="12"/>
        <v>5040</v>
      </c>
      <c r="U45" s="15">
        <f t="shared" si="13"/>
        <v>0.8</v>
      </c>
      <c r="V45" s="7">
        <f t="shared" si="14"/>
        <v>0</v>
      </c>
      <c r="W45" s="8"/>
      <c r="X45" s="14">
        <f t="shared" si="15"/>
        <v>5739.9999999999991</v>
      </c>
      <c r="Y45" s="15">
        <f t="shared" si="16"/>
        <v>1.0499999999999996</v>
      </c>
      <c r="Z45" s="7">
        <f t="shared" si="17"/>
        <v>0</v>
      </c>
      <c r="AA45" s="8" t="s">
        <v>172</v>
      </c>
      <c r="AB45" s="8" t="s">
        <v>173</v>
      </c>
      <c r="AC45" s="8" t="s">
        <v>174</v>
      </c>
    </row>
    <row r="46" spans="1:29" hidden="1" x14ac:dyDescent="0.3">
      <c r="A46" s="10">
        <v>446</v>
      </c>
      <c r="B46" s="8"/>
      <c r="C46" s="8">
        <v>0</v>
      </c>
      <c r="D46" s="8"/>
      <c r="E46" s="42">
        <v>4700</v>
      </c>
      <c r="F46" s="7">
        <f t="shared" si="0"/>
        <v>0</v>
      </c>
      <c r="G46" s="8"/>
      <c r="H46" s="7">
        <f t="shared" si="1"/>
        <v>0</v>
      </c>
      <c r="I46" s="7"/>
      <c r="J46" s="8" t="s">
        <v>166</v>
      </c>
      <c r="K46" s="8"/>
      <c r="L46" s="8"/>
      <c r="M46" s="8"/>
      <c r="N46" s="9" t="s">
        <v>175</v>
      </c>
      <c r="O46" s="8"/>
      <c r="P46" s="14">
        <f t="shared" si="11"/>
        <v>7520</v>
      </c>
      <c r="Q46" s="15">
        <f t="shared" si="3"/>
        <v>0.6</v>
      </c>
      <c r="R46" s="7">
        <f t="shared" si="4"/>
        <v>0</v>
      </c>
      <c r="S46" s="8"/>
      <c r="T46" s="14">
        <f t="shared" si="12"/>
        <v>8460</v>
      </c>
      <c r="U46" s="15">
        <f t="shared" si="13"/>
        <v>0.8</v>
      </c>
      <c r="V46" s="7">
        <f t="shared" si="14"/>
        <v>0</v>
      </c>
      <c r="W46" s="8"/>
      <c r="X46" s="14">
        <f t="shared" si="15"/>
        <v>9635</v>
      </c>
      <c r="Y46" s="15">
        <f t="shared" si="16"/>
        <v>1.05</v>
      </c>
      <c r="Z46" s="7">
        <f t="shared" si="17"/>
        <v>0</v>
      </c>
      <c r="AA46" s="8" t="s">
        <v>176</v>
      </c>
      <c r="AB46" s="8" t="s">
        <v>177</v>
      </c>
      <c r="AC46" s="8"/>
    </row>
    <row r="47" spans="1:29" hidden="1" x14ac:dyDescent="0.3">
      <c r="A47" s="10">
        <v>447</v>
      </c>
      <c r="B47" s="8"/>
      <c r="C47" s="8">
        <v>0</v>
      </c>
      <c r="D47" s="8"/>
      <c r="E47" s="42">
        <v>3500</v>
      </c>
      <c r="F47" s="7">
        <f t="shared" si="0"/>
        <v>0</v>
      </c>
      <c r="G47" s="8"/>
      <c r="H47" s="7">
        <f t="shared" si="1"/>
        <v>0</v>
      </c>
      <c r="I47" s="7"/>
      <c r="J47" s="8" t="s">
        <v>178</v>
      </c>
      <c r="K47" s="8"/>
      <c r="L47" s="8"/>
      <c r="M47" s="8"/>
      <c r="N47" s="9" t="s">
        <v>179</v>
      </c>
      <c r="O47" s="8"/>
      <c r="P47" s="14">
        <f t="shared" si="11"/>
        <v>5600</v>
      </c>
      <c r="Q47" s="15">
        <f t="shared" si="3"/>
        <v>0.6</v>
      </c>
      <c r="R47" s="7">
        <f t="shared" si="4"/>
        <v>0</v>
      </c>
      <c r="S47" s="8"/>
      <c r="T47" s="14">
        <f t="shared" si="12"/>
        <v>6300</v>
      </c>
      <c r="U47" s="15">
        <f t="shared" si="13"/>
        <v>0.8</v>
      </c>
      <c r="V47" s="7">
        <f t="shared" si="14"/>
        <v>0</v>
      </c>
      <c r="W47" s="8"/>
      <c r="X47" s="14">
        <f t="shared" si="15"/>
        <v>7174.9999999999991</v>
      </c>
      <c r="Y47" s="15">
        <f t="shared" si="16"/>
        <v>1.0499999999999998</v>
      </c>
      <c r="Z47" s="7">
        <f t="shared" si="17"/>
        <v>0</v>
      </c>
      <c r="AA47" s="8" t="s">
        <v>180</v>
      </c>
      <c r="AB47" s="8" t="s">
        <v>181</v>
      </c>
      <c r="AC47" s="8" t="s">
        <v>182</v>
      </c>
    </row>
    <row r="48" spans="1:29" hidden="1" x14ac:dyDescent="0.3">
      <c r="A48" s="10">
        <v>448</v>
      </c>
      <c r="B48" s="8"/>
      <c r="C48" s="8">
        <v>0</v>
      </c>
      <c r="D48" s="8"/>
      <c r="E48" s="42">
        <v>999</v>
      </c>
      <c r="F48" s="7">
        <f t="shared" si="0"/>
        <v>0</v>
      </c>
      <c r="G48" s="8"/>
      <c r="H48" s="7">
        <f t="shared" si="1"/>
        <v>0</v>
      </c>
      <c r="I48" s="7"/>
      <c r="J48" s="8" t="s">
        <v>178</v>
      </c>
      <c r="K48" s="8"/>
      <c r="L48" s="8"/>
      <c r="M48" s="8"/>
      <c r="N48" s="9" t="s">
        <v>183</v>
      </c>
      <c r="O48" s="8"/>
      <c r="P48" s="14">
        <f t="shared" si="11"/>
        <v>1598.4</v>
      </c>
      <c r="Q48" s="15">
        <f t="shared" si="3"/>
        <v>0.60000000000000009</v>
      </c>
      <c r="R48" s="7">
        <f t="shared" si="4"/>
        <v>0</v>
      </c>
      <c r="S48" s="8"/>
      <c r="T48" s="14">
        <f t="shared" si="12"/>
        <v>1798.2</v>
      </c>
      <c r="U48" s="15">
        <f t="shared" si="13"/>
        <v>0.8</v>
      </c>
      <c r="V48" s="7">
        <f t="shared" si="14"/>
        <v>0</v>
      </c>
      <c r="W48" s="8"/>
      <c r="X48" s="14">
        <f t="shared" si="15"/>
        <v>2047.9499999999998</v>
      </c>
      <c r="Y48" s="15">
        <f t="shared" si="16"/>
        <v>1.0499999999999998</v>
      </c>
      <c r="Z48" s="7">
        <f t="shared" si="17"/>
        <v>0</v>
      </c>
      <c r="AA48" s="8" t="s">
        <v>184</v>
      </c>
      <c r="AB48" s="8" t="s">
        <v>185</v>
      </c>
      <c r="AC48" s="8" t="s">
        <v>186</v>
      </c>
    </row>
    <row r="49" spans="1:32" hidden="1" x14ac:dyDescent="0.3">
      <c r="A49" s="10">
        <v>449</v>
      </c>
      <c r="B49" s="8"/>
      <c r="C49" s="8">
        <v>0</v>
      </c>
      <c r="D49" s="8"/>
      <c r="E49" s="42">
        <v>2500</v>
      </c>
      <c r="F49" s="7">
        <f t="shared" si="0"/>
        <v>0</v>
      </c>
      <c r="G49" s="8"/>
      <c r="H49" s="7">
        <f t="shared" si="1"/>
        <v>0</v>
      </c>
      <c r="I49" s="7"/>
      <c r="J49" s="8" t="s">
        <v>178</v>
      </c>
      <c r="K49" s="8"/>
      <c r="L49" s="8"/>
      <c r="M49" s="8"/>
      <c r="N49" s="9" t="s">
        <v>187</v>
      </c>
      <c r="O49" s="8"/>
      <c r="P49" s="14">
        <f t="shared" si="11"/>
        <v>4000</v>
      </c>
      <c r="Q49" s="15">
        <f t="shared" si="3"/>
        <v>0.6</v>
      </c>
      <c r="R49" s="7">
        <f t="shared" si="4"/>
        <v>0</v>
      </c>
      <c r="S49" s="8"/>
      <c r="T49" s="14">
        <f t="shared" si="12"/>
        <v>4500</v>
      </c>
      <c r="U49" s="15">
        <f t="shared" si="13"/>
        <v>0.8</v>
      </c>
      <c r="V49" s="7">
        <f t="shared" si="14"/>
        <v>0</v>
      </c>
      <c r="W49" s="8"/>
      <c r="X49" s="14">
        <f t="shared" si="15"/>
        <v>5125</v>
      </c>
      <c r="Y49" s="15">
        <f t="shared" si="16"/>
        <v>1.05</v>
      </c>
      <c r="Z49" s="7">
        <f t="shared" si="17"/>
        <v>0</v>
      </c>
      <c r="AA49" s="8" t="s">
        <v>188</v>
      </c>
      <c r="AB49" s="8" t="s">
        <v>189</v>
      </c>
      <c r="AC49" s="8" t="s">
        <v>190</v>
      </c>
    </row>
    <row r="50" spans="1:32" hidden="1" x14ac:dyDescent="0.3">
      <c r="A50" s="10">
        <v>450</v>
      </c>
      <c r="B50" s="8"/>
      <c r="C50" s="8">
        <v>0</v>
      </c>
      <c r="D50" s="8"/>
      <c r="E50" s="42">
        <v>1199</v>
      </c>
      <c r="F50" s="7">
        <f t="shared" si="0"/>
        <v>0</v>
      </c>
      <c r="G50" s="8"/>
      <c r="H50" s="7">
        <f t="shared" si="1"/>
        <v>0</v>
      </c>
      <c r="I50" s="7"/>
      <c r="J50" s="8" t="s">
        <v>178</v>
      </c>
      <c r="K50" s="8"/>
      <c r="L50" s="8"/>
      <c r="M50" s="8"/>
      <c r="N50" s="9" t="s">
        <v>191</v>
      </c>
      <c r="O50" s="8"/>
      <c r="P50" s="14">
        <f t="shared" si="11"/>
        <v>1918.4</v>
      </c>
      <c r="Q50" s="15">
        <f t="shared" si="3"/>
        <v>0.60000000000000009</v>
      </c>
      <c r="R50" s="7">
        <f t="shared" si="4"/>
        <v>0</v>
      </c>
      <c r="S50" s="8"/>
      <c r="T50" s="14">
        <f t="shared" si="12"/>
        <v>2158.2000000000003</v>
      </c>
      <c r="U50" s="15">
        <f t="shared" si="13"/>
        <v>0.80000000000000027</v>
      </c>
      <c r="V50" s="7">
        <f t="shared" si="14"/>
        <v>0</v>
      </c>
      <c r="W50" s="8"/>
      <c r="X50" s="14">
        <f t="shared" si="15"/>
        <v>2457.9499999999998</v>
      </c>
      <c r="Y50" s="15">
        <f t="shared" si="16"/>
        <v>1.0499999999999998</v>
      </c>
      <c r="Z50" s="7">
        <f t="shared" si="17"/>
        <v>0</v>
      </c>
      <c r="AA50" s="8" t="s">
        <v>192</v>
      </c>
      <c r="AB50" s="8" t="s">
        <v>193</v>
      </c>
      <c r="AC50" s="8" t="s">
        <v>194</v>
      </c>
    </row>
    <row r="51" spans="1:32" hidden="1" x14ac:dyDescent="0.3">
      <c r="A51" s="10">
        <v>451</v>
      </c>
      <c r="B51" s="8"/>
      <c r="C51" s="8">
        <v>0</v>
      </c>
      <c r="D51" s="8"/>
      <c r="E51" s="42">
        <v>1199</v>
      </c>
      <c r="F51" s="7">
        <f t="shared" si="0"/>
        <v>0</v>
      </c>
      <c r="G51" s="8"/>
      <c r="H51" s="7">
        <f t="shared" si="1"/>
        <v>0</v>
      </c>
      <c r="I51" s="7"/>
      <c r="J51" s="8" t="s">
        <v>178</v>
      </c>
      <c r="K51" s="8"/>
      <c r="L51" s="8"/>
      <c r="M51" s="8"/>
      <c r="N51" s="9" t="s">
        <v>195</v>
      </c>
      <c r="O51" s="8"/>
      <c r="P51" s="14">
        <f t="shared" si="11"/>
        <v>1918.4</v>
      </c>
      <c r="Q51" s="15">
        <f t="shared" si="3"/>
        <v>0.60000000000000009</v>
      </c>
      <c r="R51" s="7">
        <f t="shared" si="4"/>
        <v>0</v>
      </c>
      <c r="S51" s="8"/>
      <c r="T51" s="14">
        <f t="shared" si="12"/>
        <v>2158.2000000000003</v>
      </c>
      <c r="U51" s="15">
        <f t="shared" si="13"/>
        <v>0.80000000000000027</v>
      </c>
      <c r="V51" s="7">
        <f t="shared" si="14"/>
        <v>0</v>
      </c>
      <c r="W51" s="8"/>
      <c r="X51" s="14">
        <f t="shared" si="15"/>
        <v>2457.9499999999998</v>
      </c>
      <c r="Y51" s="15">
        <f t="shared" si="16"/>
        <v>1.0499999999999998</v>
      </c>
      <c r="Z51" s="7">
        <f t="shared" si="17"/>
        <v>0</v>
      </c>
      <c r="AA51" s="8" t="s">
        <v>196</v>
      </c>
      <c r="AB51" s="8" t="s">
        <v>197</v>
      </c>
      <c r="AC51" s="8" t="s">
        <v>198</v>
      </c>
    </row>
    <row r="52" spans="1:32" hidden="1" x14ac:dyDescent="0.3">
      <c r="A52" s="10">
        <v>452</v>
      </c>
      <c r="B52" s="8"/>
      <c r="C52" s="8">
        <v>0</v>
      </c>
      <c r="D52" s="8"/>
      <c r="E52" s="42">
        <v>1300</v>
      </c>
      <c r="F52" s="7">
        <f t="shared" si="0"/>
        <v>0</v>
      </c>
      <c r="G52" s="8"/>
      <c r="H52" s="7">
        <f t="shared" si="1"/>
        <v>0</v>
      </c>
      <c r="I52" s="7"/>
      <c r="J52" s="8" t="s">
        <v>178</v>
      </c>
      <c r="K52" s="8"/>
      <c r="L52" s="8"/>
      <c r="M52" s="8"/>
      <c r="N52" s="9" t="s">
        <v>199</v>
      </c>
      <c r="O52" s="8"/>
      <c r="P52" s="14">
        <f t="shared" si="11"/>
        <v>2080</v>
      </c>
      <c r="Q52" s="15">
        <f t="shared" si="3"/>
        <v>0.6</v>
      </c>
      <c r="R52" s="7">
        <f t="shared" si="4"/>
        <v>0</v>
      </c>
      <c r="S52" s="8"/>
      <c r="T52" s="14">
        <f t="shared" si="12"/>
        <v>2340</v>
      </c>
      <c r="U52" s="15">
        <f t="shared" si="13"/>
        <v>0.8</v>
      </c>
      <c r="V52" s="7">
        <f t="shared" si="14"/>
        <v>0</v>
      </c>
      <c r="W52" s="8"/>
      <c r="X52" s="14">
        <f t="shared" si="15"/>
        <v>2664.9999999999995</v>
      </c>
      <c r="Y52" s="15">
        <f t="shared" si="16"/>
        <v>1.0499999999999996</v>
      </c>
      <c r="Z52" s="7">
        <f t="shared" si="17"/>
        <v>0</v>
      </c>
      <c r="AA52" s="8" t="s">
        <v>200</v>
      </c>
      <c r="AB52" s="8" t="s">
        <v>201</v>
      </c>
      <c r="AC52" s="8" t="s">
        <v>202</v>
      </c>
    </row>
    <row r="53" spans="1:32" hidden="1" x14ac:dyDescent="0.3">
      <c r="A53" s="10">
        <v>453</v>
      </c>
      <c r="B53" s="8"/>
      <c r="C53" s="8">
        <v>0</v>
      </c>
      <c r="D53" s="8"/>
      <c r="E53" s="42">
        <v>1300</v>
      </c>
      <c r="F53" s="7">
        <f t="shared" si="0"/>
        <v>0</v>
      </c>
      <c r="G53" s="8"/>
      <c r="H53" s="7">
        <f t="shared" si="1"/>
        <v>0</v>
      </c>
      <c r="I53" s="7"/>
      <c r="J53" s="8" t="s">
        <v>178</v>
      </c>
      <c r="K53" s="8"/>
      <c r="L53" s="8"/>
      <c r="M53" s="8"/>
      <c r="N53" s="9" t="s">
        <v>203</v>
      </c>
      <c r="O53" s="8"/>
      <c r="P53" s="14">
        <f t="shared" si="11"/>
        <v>2080</v>
      </c>
      <c r="Q53" s="15">
        <f t="shared" si="3"/>
        <v>0.6</v>
      </c>
      <c r="R53" s="7">
        <f t="shared" si="4"/>
        <v>0</v>
      </c>
      <c r="S53" s="8"/>
      <c r="T53" s="14">
        <f t="shared" si="12"/>
        <v>2340</v>
      </c>
      <c r="U53" s="15">
        <f t="shared" si="13"/>
        <v>0.8</v>
      </c>
      <c r="V53" s="7">
        <f t="shared" si="14"/>
        <v>0</v>
      </c>
      <c r="W53" s="8"/>
      <c r="X53" s="14">
        <f t="shared" si="15"/>
        <v>2664.9999999999995</v>
      </c>
      <c r="Y53" s="15">
        <f t="shared" si="16"/>
        <v>1.0499999999999996</v>
      </c>
      <c r="Z53" s="7">
        <f t="shared" si="17"/>
        <v>0</v>
      </c>
      <c r="AA53" s="8" t="s">
        <v>204</v>
      </c>
      <c r="AB53" s="8" t="s">
        <v>205</v>
      </c>
      <c r="AC53" s="8" t="s">
        <v>206</v>
      </c>
    </row>
    <row r="54" spans="1:32" hidden="1" x14ac:dyDescent="0.3">
      <c r="A54" s="10">
        <v>454</v>
      </c>
      <c r="B54" s="8"/>
      <c r="C54" s="8">
        <v>0</v>
      </c>
      <c r="D54" s="8"/>
      <c r="E54" s="42">
        <v>2100</v>
      </c>
      <c r="F54" s="7">
        <f t="shared" si="0"/>
        <v>0</v>
      </c>
      <c r="G54" s="8"/>
      <c r="H54" s="7">
        <f t="shared" si="1"/>
        <v>0</v>
      </c>
      <c r="I54" s="7"/>
      <c r="J54" s="8" t="s">
        <v>178</v>
      </c>
      <c r="K54" s="8"/>
      <c r="L54" s="8"/>
      <c r="M54" s="8"/>
      <c r="N54" s="9" t="s">
        <v>207</v>
      </c>
      <c r="O54" s="8"/>
      <c r="P54" s="14">
        <f t="shared" si="11"/>
        <v>3360</v>
      </c>
      <c r="Q54" s="15">
        <f t="shared" si="3"/>
        <v>0.6</v>
      </c>
      <c r="R54" s="7">
        <f t="shared" si="4"/>
        <v>0</v>
      </c>
      <c r="S54" s="8"/>
      <c r="T54" s="14">
        <f t="shared" si="12"/>
        <v>3780</v>
      </c>
      <c r="U54" s="15">
        <f t="shared" si="13"/>
        <v>0.8</v>
      </c>
      <c r="V54" s="7">
        <f t="shared" si="14"/>
        <v>0</v>
      </c>
      <c r="W54" s="8"/>
      <c r="X54" s="14">
        <f t="shared" si="15"/>
        <v>4305</v>
      </c>
      <c r="Y54" s="15">
        <f t="shared" si="16"/>
        <v>1.05</v>
      </c>
      <c r="Z54" s="7">
        <f t="shared" si="17"/>
        <v>0</v>
      </c>
      <c r="AA54" s="8" t="s">
        <v>208</v>
      </c>
      <c r="AB54" s="8" t="s">
        <v>209</v>
      </c>
      <c r="AC54" s="8" t="s">
        <v>210</v>
      </c>
    </row>
    <row r="55" spans="1:32" hidden="1" x14ac:dyDescent="0.3">
      <c r="A55" s="10">
        <v>455</v>
      </c>
      <c r="B55" s="8"/>
      <c r="C55" s="8">
        <v>0</v>
      </c>
      <c r="D55" s="8"/>
      <c r="E55" s="42">
        <v>1285</v>
      </c>
      <c r="F55" s="7">
        <f t="shared" si="0"/>
        <v>0</v>
      </c>
      <c r="G55" s="8"/>
      <c r="H55" s="7">
        <f t="shared" si="1"/>
        <v>0</v>
      </c>
      <c r="I55" s="7"/>
      <c r="J55" s="8" t="s">
        <v>178</v>
      </c>
      <c r="K55" s="8"/>
      <c r="L55" s="8"/>
      <c r="M55" s="8"/>
      <c r="N55" s="9" t="s">
        <v>211</v>
      </c>
      <c r="O55" s="8"/>
      <c r="P55" s="14">
        <f t="shared" si="11"/>
        <v>2056</v>
      </c>
      <c r="Q55" s="15">
        <f t="shared" si="3"/>
        <v>0.6</v>
      </c>
      <c r="R55" s="7">
        <f t="shared" si="4"/>
        <v>0</v>
      </c>
      <c r="S55" s="8"/>
      <c r="T55" s="14">
        <f t="shared" si="12"/>
        <v>2313</v>
      </c>
      <c r="U55" s="15">
        <f t="shared" si="13"/>
        <v>0.8</v>
      </c>
      <c r="V55" s="7">
        <f t="shared" si="14"/>
        <v>0</v>
      </c>
      <c r="W55" s="8"/>
      <c r="X55" s="14">
        <f t="shared" si="15"/>
        <v>2634.2499999999995</v>
      </c>
      <c r="Y55" s="15">
        <f t="shared" si="16"/>
        <v>1.0499999999999996</v>
      </c>
      <c r="Z55" s="7">
        <f t="shared" si="17"/>
        <v>0</v>
      </c>
      <c r="AA55" s="8" t="s">
        <v>212</v>
      </c>
      <c r="AB55" s="8" t="s">
        <v>213</v>
      </c>
      <c r="AC55" s="8" t="s">
        <v>214</v>
      </c>
    </row>
    <row r="56" spans="1:32" hidden="1" x14ac:dyDescent="0.3">
      <c r="A56" s="10">
        <v>456</v>
      </c>
      <c r="B56" s="8"/>
      <c r="C56" s="8">
        <v>0</v>
      </c>
      <c r="D56" s="8"/>
      <c r="E56" s="42">
        <v>1900</v>
      </c>
      <c r="F56" s="7">
        <f t="shared" si="0"/>
        <v>0</v>
      </c>
      <c r="G56" s="8"/>
      <c r="H56" s="7">
        <f t="shared" si="1"/>
        <v>0</v>
      </c>
      <c r="I56" s="7"/>
      <c r="J56" s="8" t="s">
        <v>215</v>
      </c>
      <c r="K56" s="8"/>
      <c r="L56" s="8"/>
      <c r="M56" s="8"/>
      <c r="N56" s="9" t="s">
        <v>216</v>
      </c>
      <c r="O56" s="8"/>
      <c r="P56" s="14">
        <f t="shared" si="11"/>
        <v>3040</v>
      </c>
      <c r="Q56" s="15">
        <f t="shared" si="3"/>
        <v>0.6</v>
      </c>
      <c r="R56" s="7">
        <f t="shared" si="4"/>
        <v>0</v>
      </c>
      <c r="S56" s="8"/>
      <c r="T56" s="14">
        <f t="shared" si="12"/>
        <v>3420</v>
      </c>
      <c r="U56" s="15">
        <f t="shared" si="13"/>
        <v>0.8</v>
      </c>
      <c r="V56" s="7">
        <f t="shared" si="14"/>
        <v>0</v>
      </c>
      <c r="W56" s="8"/>
      <c r="X56" s="14">
        <f t="shared" si="15"/>
        <v>3894.9999999999995</v>
      </c>
      <c r="Y56" s="15">
        <f t="shared" si="16"/>
        <v>1.0499999999999998</v>
      </c>
      <c r="Z56" s="7">
        <f t="shared" si="17"/>
        <v>0</v>
      </c>
      <c r="AA56" s="8" t="s">
        <v>217</v>
      </c>
      <c r="AB56" s="8" t="s">
        <v>218</v>
      </c>
      <c r="AC56" s="8" t="s">
        <v>219</v>
      </c>
    </row>
    <row r="57" spans="1:32" s="21" customFormat="1" hidden="1" x14ac:dyDescent="0.3">
      <c r="A57" s="10">
        <v>457</v>
      </c>
      <c r="B57" s="8"/>
      <c r="C57" s="8">
        <v>0</v>
      </c>
      <c r="D57" s="8"/>
      <c r="E57" s="42">
        <v>14500</v>
      </c>
      <c r="F57" s="7">
        <f t="shared" si="0"/>
        <v>0</v>
      </c>
      <c r="G57" s="8"/>
      <c r="H57" s="7">
        <f t="shared" si="1"/>
        <v>0</v>
      </c>
      <c r="I57" s="7"/>
      <c r="J57" s="8" t="s">
        <v>215</v>
      </c>
      <c r="K57" s="8"/>
      <c r="L57" s="8"/>
      <c r="M57" s="8"/>
      <c r="N57" s="9" t="s">
        <v>220</v>
      </c>
      <c r="O57" s="8"/>
      <c r="P57" s="14">
        <f t="shared" si="11"/>
        <v>23200</v>
      </c>
      <c r="Q57" s="15">
        <f t="shared" si="3"/>
        <v>0.6</v>
      </c>
      <c r="R57" s="7">
        <f t="shared" si="4"/>
        <v>0</v>
      </c>
      <c r="S57" s="8"/>
      <c r="T57" s="14">
        <f t="shared" si="12"/>
        <v>26100</v>
      </c>
      <c r="U57" s="15">
        <f t="shared" si="13"/>
        <v>0.8</v>
      </c>
      <c r="V57" s="7">
        <f t="shared" si="14"/>
        <v>0</v>
      </c>
      <c r="W57" s="8"/>
      <c r="X57" s="14">
        <f t="shared" si="15"/>
        <v>29724.999999999996</v>
      </c>
      <c r="Y57" s="15">
        <f t="shared" si="16"/>
        <v>1.0499999999999998</v>
      </c>
      <c r="Z57" s="7">
        <f t="shared" si="17"/>
        <v>0</v>
      </c>
      <c r="AA57" s="8" t="s">
        <v>221</v>
      </c>
      <c r="AB57" s="8" t="s">
        <v>222</v>
      </c>
      <c r="AC57" s="8"/>
    </row>
    <row r="58" spans="1:32" s="21" customFormat="1" hidden="1" x14ac:dyDescent="0.3">
      <c r="A58" s="10">
        <v>458</v>
      </c>
      <c r="B58" s="8"/>
      <c r="C58" s="8">
        <v>0</v>
      </c>
      <c r="D58" s="8"/>
      <c r="E58" s="42">
        <v>6990</v>
      </c>
      <c r="F58" s="7">
        <f t="shared" si="0"/>
        <v>0</v>
      </c>
      <c r="G58" s="8"/>
      <c r="H58" s="7">
        <f t="shared" si="1"/>
        <v>0</v>
      </c>
      <c r="I58" s="7"/>
      <c r="J58" s="8" t="s">
        <v>215</v>
      </c>
      <c r="K58" s="8"/>
      <c r="L58" s="8"/>
      <c r="M58" s="8"/>
      <c r="N58" s="9" t="s">
        <v>223</v>
      </c>
      <c r="O58" s="8"/>
      <c r="P58" s="14">
        <f t="shared" si="11"/>
        <v>11184</v>
      </c>
      <c r="Q58" s="15">
        <f t="shared" si="3"/>
        <v>0.6</v>
      </c>
      <c r="R58" s="7">
        <f t="shared" si="4"/>
        <v>0</v>
      </c>
      <c r="S58" s="8"/>
      <c r="T58" s="14">
        <f t="shared" si="12"/>
        <v>12582</v>
      </c>
      <c r="U58" s="15">
        <f t="shared" si="13"/>
        <v>0.8</v>
      </c>
      <c r="V58" s="7">
        <f t="shared" si="14"/>
        <v>0</v>
      </c>
      <c r="W58" s="8"/>
      <c r="X58" s="14">
        <f t="shared" si="15"/>
        <v>14329.499999999998</v>
      </c>
      <c r="Y58" s="15">
        <f t="shared" si="16"/>
        <v>1.0499999999999998</v>
      </c>
      <c r="Z58" s="7">
        <f t="shared" si="17"/>
        <v>0</v>
      </c>
      <c r="AA58" s="8" t="s">
        <v>224</v>
      </c>
      <c r="AB58" s="8" t="s">
        <v>225</v>
      </c>
      <c r="AC58" s="8"/>
    </row>
    <row r="59" spans="1:32" s="21" customFormat="1" hidden="1" x14ac:dyDescent="0.3">
      <c r="A59" s="10">
        <v>459</v>
      </c>
      <c r="B59" s="8"/>
      <c r="C59" s="8">
        <v>0</v>
      </c>
      <c r="D59" s="8"/>
      <c r="E59" s="42">
        <v>275000</v>
      </c>
      <c r="F59" s="7">
        <f t="shared" si="0"/>
        <v>0</v>
      </c>
      <c r="G59" s="8"/>
      <c r="H59" s="7">
        <f t="shared" si="1"/>
        <v>0</v>
      </c>
      <c r="I59" s="7"/>
      <c r="J59" s="8" t="s">
        <v>215</v>
      </c>
      <c r="K59" s="8"/>
      <c r="L59" s="8"/>
      <c r="M59" s="8"/>
      <c r="N59" s="9" t="s">
        <v>226</v>
      </c>
      <c r="O59" s="8"/>
      <c r="P59" s="14">
        <f t="shared" si="11"/>
        <v>440000</v>
      </c>
      <c r="Q59" s="15">
        <f t="shared" si="3"/>
        <v>0.6</v>
      </c>
      <c r="R59" s="7">
        <f t="shared" si="4"/>
        <v>0</v>
      </c>
      <c r="S59" s="8"/>
      <c r="T59" s="14">
        <f t="shared" si="12"/>
        <v>495000</v>
      </c>
      <c r="U59" s="15">
        <f t="shared" si="13"/>
        <v>0.8</v>
      </c>
      <c r="V59" s="7">
        <f t="shared" si="14"/>
        <v>0</v>
      </c>
      <c r="W59" s="8"/>
      <c r="X59" s="14">
        <f t="shared" si="15"/>
        <v>563750</v>
      </c>
      <c r="Y59" s="15">
        <f t="shared" si="16"/>
        <v>1.05</v>
      </c>
      <c r="Z59" s="7">
        <f t="shared" si="17"/>
        <v>0</v>
      </c>
      <c r="AA59" s="8" t="s">
        <v>227</v>
      </c>
      <c r="AB59" s="8" t="s">
        <v>228</v>
      </c>
      <c r="AC59" s="8"/>
    </row>
    <row r="60" spans="1:32" s="21" customFormat="1" hidden="1" x14ac:dyDescent="0.3">
      <c r="A60" s="10">
        <v>460</v>
      </c>
      <c r="B60" s="8"/>
      <c r="C60" s="8">
        <v>0</v>
      </c>
      <c r="D60" s="8"/>
      <c r="E60" s="42">
        <v>7500</v>
      </c>
      <c r="F60" s="7">
        <f t="shared" si="0"/>
        <v>0</v>
      </c>
      <c r="G60" s="8"/>
      <c r="H60" s="7">
        <f t="shared" si="1"/>
        <v>0</v>
      </c>
      <c r="I60" s="7"/>
      <c r="J60" s="8" t="s">
        <v>215</v>
      </c>
      <c r="K60" s="8"/>
      <c r="L60" s="8"/>
      <c r="M60" s="8"/>
      <c r="N60" s="9" t="s">
        <v>229</v>
      </c>
      <c r="O60" s="8"/>
      <c r="P60" s="14">
        <f t="shared" si="11"/>
        <v>12000</v>
      </c>
      <c r="Q60" s="15">
        <f t="shared" si="3"/>
        <v>0.6</v>
      </c>
      <c r="R60" s="7">
        <f t="shared" si="4"/>
        <v>0</v>
      </c>
      <c r="S60" s="8"/>
      <c r="T60" s="14">
        <f t="shared" si="12"/>
        <v>13500</v>
      </c>
      <c r="U60" s="15">
        <f t="shared" si="13"/>
        <v>0.8</v>
      </c>
      <c r="V60" s="7">
        <f t="shared" si="14"/>
        <v>0</v>
      </c>
      <c r="W60" s="8"/>
      <c r="X60" s="14">
        <f t="shared" si="15"/>
        <v>15374.999999999998</v>
      </c>
      <c r="Y60" s="15">
        <f t="shared" si="16"/>
        <v>1.0499999999999998</v>
      </c>
      <c r="Z60" s="7">
        <f t="shared" si="17"/>
        <v>0</v>
      </c>
      <c r="AA60" s="8" t="s">
        <v>230</v>
      </c>
      <c r="AB60" s="8" t="s">
        <v>231</v>
      </c>
      <c r="AC60" s="8"/>
    </row>
    <row r="61" spans="1:32" hidden="1" x14ac:dyDescent="0.3">
      <c r="A61" s="10">
        <v>461</v>
      </c>
      <c r="B61" s="8"/>
      <c r="C61" s="8">
        <v>0</v>
      </c>
      <c r="D61" s="8"/>
      <c r="E61" s="42">
        <v>12700</v>
      </c>
      <c r="F61" s="7">
        <f t="shared" si="0"/>
        <v>0</v>
      </c>
      <c r="G61" s="8"/>
      <c r="H61" s="7">
        <f t="shared" si="1"/>
        <v>0</v>
      </c>
      <c r="I61" s="7"/>
      <c r="J61" s="8" t="s">
        <v>215</v>
      </c>
      <c r="K61" s="8"/>
      <c r="L61" s="8"/>
      <c r="M61" s="8"/>
      <c r="N61" s="9" t="s">
        <v>232</v>
      </c>
      <c r="O61" s="8"/>
      <c r="P61" s="14">
        <f t="shared" si="11"/>
        <v>20320</v>
      </c>
      <c r="Q61" s="15">
        <f t="shared" si="3"/>
        <v>0.6</v>
      </c>
      <c r="R61" s="7">
        <f t="shared" si="4"/>
        <v>0</v>
      </c>
      <c r="S61" s="8"/>
      <c r="T61" s="14">
        <f t="shared" si="12"/>
        <v>22860</v>
      </c>
      <c r="U61" s="15">
        <f t="shared" si="13"/>
        <v>0.8</v>
      </c>
      <c r="V61" s="7">
        <f t="shared" si="14"/>
        <v>0</v>
      </c>
      <c r="W61" s="8"/>
      <c r="X61" s="14">
        <f t="shared" si="15"/>
        <v>26034.999999999996</v>
      </c>
      <c r="Y61" s="15">
        <f t="shared" si="16"/>
        <v>1.0499999999999998</v>
      </c>
      <c r="Z61" s="7">
        <f t="shared" si="17"/>
        <v>0</v>
      </c>
      <c r="AA61" s="8" t="s">
        <v>233</v>
      </c>
      <c r="AB61" s="8" t="s">
        <v>234</v>
      </c>
      <c r="AC61" s="8"/>
      <c r="AD61" s="35"/>
      <c r="AE61" s="35"/>
      <c r="AF61" s="35"/>
    </row>
    <row r="62" spans="1:32" hidden="1" x14ac:dyDescent="0.3">
      <c r="A62" s="10">
        <v>462</v>
      </c>
      <c r="B62" s="8"/>
      <c r="C62" s="8">
        <v>0</v>
      </c>
      <c r="D62" s="8"/>
      <c r="E62" s="42">
        <v>23500</v>
      </c>
      <c r="F62" s="7">
        <f t="shared" si="0"/>
        <v>0</v>
      </c>
      <c r="G62" s="8"/>
      <c r="H62" s="7">
        <f t="shared" si="1"/>
        <v>0</v>
      </c>
      <c r="I62" s="7"/>
      <c r="J62" s="8" t="s">
        <v>215</v>
      </c>
      <c r="K62" s="8"/>
      <c r="L62" s="8"/>
      <c r="M62" s="8"/>
      <c r="N62" s="9" t="s">
        <v>235</v>
      </c>
      <c r="O62" s="8"/>
      <c r="P62" s="14">
        <f t="shared" si="11"/>
        <v>37600</v>
      </c>
      <c r="Q62" s="15">
        <f t="shared" si="3"/>
        <v>0.6</v>
      </c>
      <c r="R62" s="7">
        <f t="shared" si="4"/>
        <v>0</v>
      </c>
      <c r="S62" s="8"/>
      <c r="T62" s="14">
        <f t="shared" si="12"/>
        <v>42300</v>
      </c>
      <c r="U62" s="15">
        <f t="shared" si="13"/>
        <v>0.8</v>
      </c>
      <c r="V62" s="7">
        <f t="shared" si="14"/>
        <v>0</v>
      </c>
      <c r="W62" s="8"/>
      <c r="X62" s="14">
        <f t="shared" si="15"/>
        <v>48174.999999999993</v>
      </c>
      <c r="Y62" s="15">
        <f t="shared" si="16"/>
        <v>1.0499999999999996</v>
      </c>
      <c r="Z62" s="7">
        <f t="shared" si="17"/>
        <v>0</v>
      </c>
      <c r="AA62" s="8" t="s">
        <v>236</v>
      </c>
      <c r="AB62" s="8" t="s">
        <v>237</v>
      </c>
      <c r="AC62" s="8"/>
      <c r="AD62" s="35"/>
      <c r="AE62" s="35"/>
      <c r="AF62" s="35"/>
    </row>
    <row r="63" spans="1:32" hidden="1" x14ac:dyDescent="0.3">
      <c r="A63" s="10">
        <v>463</v>
      </c>
      <c r="B63" s="8"/>
      <c r="C63" s="8">
        <v>0</v>
      </c>
      <c r="D63" s="8"/>
      <c r="E63" s="42">
        <v>4900</v>
      </c>
      <c r="F63" s="7">
        <f t="shared" si="0"/>
        <v>0</v>
      </c>
      <c r="G63" s="8"/>
      <c r="H63" s="7">
        <f t="shared" si="1"/>
        <v>0</v>
      </c>
      <c r="I63" s="7"/>
      <c r="J63" s="8" t="s">
        <v>215</v>
      </c>
      <c r="K63" s="8"/>
      <c r="L63" s="8"/>
      <c r="M63" s="8"/>
      <c r="N63" s="9" t="s">
        <v>238</v>
      </c>
      <c r="O63" s="8"/>
      <c r="P63" s="14">
        <f t="shared" si="11"/>
        <v>7840</v>
      </c>
      <c r="Q63" s="15">
        <f t="shared" si="3"/>
        <v>0.6</v>
      </c>
      <c r="R63" s="7">
        <f t="shared" si="4"/>
        <v>0</v>
      </c>
      <c r="S63" s="8"/>
      <c r="T63" s="14">
        <f t="shared" si="12"/>
        <v>8820</v>
      </c>
      <c r="U63" s="15">
        <f t="shared" si="13"/>
        <v>0.8</v>
      </c>
      <c r="V63" s="7">
        <f t="shared" si="14"/>
        <v>0</v>
      </c>
      <c r="W63" s="8"/>
      <c r="X63" s="14">
        <f t="shared" si="15"/>
        <v>10045</v>
      </c>
      <c r="Y63" s="15">
        <f t="shared" si="16"/>
        <v>1.05</v>
      </c>
      <c r="Z63" s="7">
        <f t="shared" si="17"/>
        <v>0</v>
      </c>
      <c r="AA63" s="8" t="s">
        <v>239</v>
      </c>
      <c r="AB63" s="8" t="s">
        <v>240</v>
      </c>
      <c r="AC63" s="8"/>
      <c r="AD63" s="35"/>
      <c r="AE63" s="35"/>
      <c r="AF63" s="35"/>
    </row>
    <row r="64" spans="1:32" hidden="1" x14ac:dyDescent="0.3">
      <c r="A64" s="10">
        <v>464</v>
      </c>
      <c r="B64" s="8"/>
      <c r="C64" s="8">
        <v>0</v>
      </c>
      <c r="D64" s="8"/>
      <c r="E64" s="42">
        <v>4600</v>
      </c>
      <c r="F64" s="7">
        <f t="shared" si="0"/>
        <v>0</v>
      </c>
      <c r="G64" s="8"/>
      <c r="H64" s="7">
        <f t="shared" si="1"/>
        <v>0</v>
      </c>
      <c r="I64" s="7"/>
      <c r="J64" s="8" t="s">
        <v>215</v>
      </c>
      <c r="K64" s="8"/>
      <c r="L64" s="8"/>
      <c r="M64" s="8"/>
      <c r="N64" s="9" t="s">
        <v>241</v>
      </c>
      <c r="O64" s="8"/>
      <c r="P64" s="14">
        <f t="shared" si="11"/>
        <v>7360</v>
      </c>
      <c r="Q64" s="15">
        <f t="shared" si="3"/>
        <v>0.6</v>
      </c>
      <c r="R64" s="7">
        <f t="shared" si="4"/>
        <v>0</v>
      </c>
      <c r="S64" s="8"/>
      <c r="T64" s="14">
        <f t="shared" si="12"/>
        <v>8280</v>
      </c>
      <c r="U64" s="15">
        <f t="shared" si="13"/>
        <v>0.8</v>
      </c>
      <c r="V64" s="7">
        <f t="shared" si="14"/>
        <v>0</v>
      </c>
      <c r="W64" s="8"/>
      <c r="X64" s="14">
        <f t="shared" si="15"/>
        <v>9430</v>
      </c>
      <c r="Y64" s="15">
        <f t="shared" si="16"/>
        <v>1.05</v>
      </c>
      <c r="Z64" s="7">
        <f t="shared" si="17"/>
        <v>0</v>
      </c>
      <c r="AA64" s="8" t="s">
        <v>242</v>
      </c>
      <c r="AB64" s="8" t="s">
        <v>243</v>
      </c>
      <c r="AC64" s="8" t="s">
        <v>244</v>
      </c>
      <c r="AD64" s="35"/>
      <c r="AE64" s="35"/>
      <c r="AF64" s="35"/>
    </row>
    <row r="65" spans="1:32" hidden="1" x14ac:dyDescent="0.3">
      <c r="A65" s="10">
        <v>465</v>
      </c>
      <c r="B65" s="8"/>
      <c r="C65" s="8">
        <v>0</v>
      </c>
      <c r="D65" s="8"/>
      <c r="E65" s="42">
        <v>13000</v>
      </c>
      <c r="F65" s="7">
        <f t="shared" si="0"/>
        <v>0</v>
      </c>
      <c r="G65" s="8"/>
      <c r="H65" s="7">
        <f t="shared" si="1"/>
        <v>0</v>
      </c>
      <c r="I65" s="7"/>
      <c r="J65" s="8" t="s">
        <v>215</v>
      </c>
      <c r="K65" s="8"/>
      <c r="L65" s="8"/>
      <c r="M65" s="8"/>
      <c r="N65" s="9" t="s">
        <v>245</v>
      </c>
      <c r="O65" s="8"/>
      <c r="P65" s="14">
        <f t="shared" si="11"/>
        <v>20800</v>
      </c>
      <c r="Q65" s="15">
        <f t="shared" si="3"/>
        <v>0.6</v>
      </c>
      <c r="R65" s="7">
        <f t="shared" si="4"/>
        <v>0</v>
      </c>
      <c r="S65" s="8"/>
      <c r="T65" s="14">
        <f t="shared" si="12"/>
        <v>23400</v>
      </c>
      <c r="U65" s="15">
        <f t="shared" si="13"/>
        <v>0.8</v>
      </c>
      <c r="V65" s="7">
        <f t="shared" si="14"/>
        <v>0</v>
      </c>
      <c r="W65" s="8"/>
      <c r="X65" s="14">
        <f t="shared" si="15"/>
        <v>26649.999999999996</v>
      </c>
      <c r="Y65" s="15">
        <f t="shared" si="16"/>
        <v>1.0499999999999998</v>
      </c>
      <c r="Z65" s="7">
        <f t="shared" si="17"/>
        <v>0</v>
      </c>
      <c r="AA65" s="8" t="s">
        <v>246</v>
      </c>
      <c r="AB65" s="8" t="s">
        <v>247</v>
      </c>
      <c r="AC65" s="8"/>
      <c r="AD65" s="35"/>
      <c r="AE65" s="35"/>
      <c r="AF65" s="35"/>
    </row>
    <row r="66" spans="1:32" hidden="1" x14ac:dyDescent="0.3">
      <c r="A66" s="10">
        <v>466</v>
      </c>
      <c r="B66" s="8"/>
      <c r="C66" s="8">
        <v>0</v>
      </c>
      <c r="D66" s="8"/>
      <c r="E66" s="42">
        <v>3500</v>
      </c>
      <c r="F66" s="7">
        <f t="shared" ref="F66:F129" si="18">D66*E66</f>
        <v>0</v>
      </c>
      <c r="G66" s="8"/>
      <c r="H66" s="7">
        <f t="shared" ref="H66:H129" si="19">E66*G66</f>
        <v>0</v>
      </c>
      <c r="I66" s="7"/>
      <c r="J66" s="8" t="s">
        <v>248</v>
      </c>
      <c r="K66" s="8"/>
      <c r="L66" s="8"/>
      <c r="M66" s="8"/>
      <c r="N66" s="9" t="s">
        <v>249</v>
      </c>
      <c r="O66" s="8"/>
      <c r="P66" s="14">
        <f t="shared" ref="P66:P97" si="20">E66*1.6</f>
        <v>5600</v>
      </c>
      <c r="Q66" s="15">
        <f t="shared" ref="Q66:Q129" si="21">(P66-E66)/E66</f>
        <v>0.6</v>
      </c>
      <c r="R66" s="7">
        <f t="shared" ref="R66:R129" si="22">O66*P66</f>
        <v>0</v>
      </c>
      <c r="S66" s="8"/>
      <c r="T66" s="14">
        <f t="shared" ref="T66:T97" si="23">E66*1.8</f>
        <v>6300</v>
      </c>
      <c r="U66" s="15">
        <f t="shared" ref="U66:U97" si="24">(T66-E66)/E66</f>
        <v>0.8</v>
      </c>
      <c r="V66" s="7">
        <f t="shared" ref="V66:V97" si="25">S66*T66</f>
        <v>0</v>
      </c>
      <c r="W66" s="8"/>
      <c r="X66" s="14">
        <f t="shared" ref="X66:X97" si="26">E66*2.05</f>
        <v>7174.9999999999991</v>
      </c>
      <c r="Y66" s="15">
        <f t="shared" ref="Y66:Y97" si="27">(X66-E66)/E66</f>
        <v>1.0499999999999998</v>
      </c>
      <c r="Z66" s="7">
        <f t="shared" ref="Z66:Z97" si="28">W66*X66</f>
        <v>0</v>
      </c>
      <c r="AA66" s="8" t="s">
        <v>250</v>
      </c>
      <c r="AB66" s="8" t="s">
        <v>251</v>
      </c>
      <c r="AC66" s="8" t="s">
        <v>252</v>
      </c>
      <c r="AD66" s="35"/>
      <c r="AE66" s="35"/>
      <c r="AF66" s="35"/>
    </row>
    <row r="67" spans="1:32" hidden="1" x14ac:dyDescent="0.3">
      <c r="A67" s="10">
        <v>467</v>
      </c>
      <c r="B67" s="8"/>
      <c r="C67" s="8">
        <v>0</v>
      </c>
      <c r="D67" s="8"/>
      <c r="E67" s="42">
        <v>990</v>
      </c>
      <c r="F67" s="7">
        <f t="shared" si="18"/>
        <v>0</v>
      </c>
      <c r="G67" s="8"/>
      <c r="H67" s="7">
        <f t="shared" si="19"/>
        <v>0</v>
      </c>
      <c r="I67" s="7"/>
      <c r="J67" s="8" t="s">
        <v>248</v>
      </c>
      <c r="K67" s="8"/>
      <c r="L67" s="8"/>
      <c r="M67" s="8"/>
      <c r="N67" s="9" t="s">
        <v>253</v>
      </c>
      <c r="O67" s="8"/>
      <c r="P67" s="14">
        <f t="shared" si="20"/>
        <v>1584</v>
      </c>
      <c r="Q67" s="15">
        <f t="shared" si="21"/>
        <v>0.6</v>
      </c>
      <c r="R67" s="7">
        <f t="shared" si="22"/>
        <v>0</v>
      </c>
      <c r="S67" s="8"/>
      <c r="T67" s="14">
        <f t="shared" si="23"/>
        <v>1782</v>
      </c>
      <c r="U67" s="15">
        <f t="shared" si="24"/>
        <v>0.8</v>
      </c>
      <c r="V67" s="7">
        <f t="shared" si="25"/>
        <v>0</v>
      </c>
      <c r="W67" s="8"/>
      <c r="X67" s="14">
        <f t="shared" si="26"/>
        <v>2029.4999999999998</v>
      </c>
      <c r="Y67" s="15">
        <f t="shared" si="27"/>
        <v>1.0499999999999998</v>
      </c>
      <c r="Z67" s="7">
        <f t="shared" si="28"/>
        <v>0</v>
      </c>
      <c r="AA67" s="8" t="s">
        <v>254</v>
      </c>
      <c r="AB67" s="8" t="s">
        <v>255</v>
      </c>
      <c r="AC67" s="8" t="s">
        <v>256</v>
      </c>
      <c r="AD67" s="35"/>
      <c r="AE67" s="35"/>
      <c r="AF67" s="35"/>
    </row>
    <row r="68" spans="1:32" hidden="1" x14ac:dyDescent="0.3">
      <c r="A68" s="10">
        <v>468</v>
      </c>
      <c r="B68" s="8"/>
      <c r="C68" s="8">
        <v>0</v>
      </c>
      <c r="D68" s="8"/>
      <c r="E68" s="42">
        <v>3500</v>
      </c>
      <c r="F68" s="7">
        <f t="shared" si="18"/>
        <v>0</v>
      </c>
      <c r="G68" s="8"/>
      <c r="H68" s="7">
        <f t="shared" si="19"/>
        <v>0</v>
      </c>
      <c r="I68" s="7"/>
      <c r="J68" s="8" t="s">
        <v>248</v>
      </c>
      <c r="K68" s="8"/>
      <c r="L68" s="8"/>
      <c r="M68" s="8"/>
      <c r="N68" s="9" t="s">
        <v>257</v>
      </c>
      <c r="O68" s="8"/>
      <c r="P68" s="14">
        <f t="shared" si="20"/>
        <v>5600</v>
      </c>
      <c r="Q68" s="15">
        <f t="shared" si="21"/>
        <v>0.6</v>
      </c>
      <c r="R68" s="7">
        <f t="shared" si="22"/>
        <v>0</v>
      </c>
      <c r="S68" s="8"/>
      <c r="T68" s="14">
        <f t="shared" si="23"/>
        <v>6300</v>
      </c>
      <c r="U68" s="15">
        <f t="shared" si="24"/>
        <v>0.8</v>
      </c>
      <c r="V68" s="7">
        <f t="shared" si="25"/>
        <v>0</v>
      </c>
      <c r="W68" s="8"/>
      <c r="X68" s="14">
        <f t="shared" si="26"/>
        <v>7174.9999999999991</v>
      </c>
      <c r="Y68" s="15">
        <f t="shared" si="27"/>
        <v>1.0499999999999998</v>
      </c>
      <c r="Z68" s="7">
        <f t="shared" si="28"/>
        <v>0</v>
      </c>
      <c r="AA68" s="8" t="s">
        <v>258</v>
      </c>
      <c r="AB68" s="8" t="s">
        <v>259</v>
      </c>
      <c r="AC68" s="8" t="s">
        <v>260</v>
      </c>
      <c r="AD68" s="35"/>
      <c r="AE68" s="35"/>
      <c r="AF68" s="35"/>
    </row>
    <row r="69" spans="1:32" hidden="1" x14ac:dyDescent="0.3">
      <c r="A69" s="10">
        <v>469</v>
      </c>
      <c r="B69" s="8"/>
      <c r="C69" s="8">
        <v>0</v>
      </c>
      <c r="D69" s="8"/>
      <c r="E69" s="42">
        <v>990</v>
      </c>
      <c r="F69" s="7">
        <f t="shared" si="18"/>
        <v>0</v>
      </c>
      <c r="G69" s="8"/>
      <c r="H69" s="7">
        <f t="shared" si="19"/>
        <v>0</v>
      </c>
      <c r="I69" s="7"/>
      <c r="J69" s="8" t="s">
        <v>248</v>
      </c>
      <c r="K69" s="8"/>
      <c r="L69" s="8"/>
      <c r="M69" s="8"/>
      <c r="N69" s="9" t="s">
        <v>261</v>
      </c>
      <c r="O69" s="8"/>
      <c r="P69" s="14">
        <f t="shared" si="20"/>
        <v>1584</v>
      </c>
      <c r="Q69" s="15">
        <f t="shared" si="21"/>
        <v>0.6</v>
      </c>
      <c r="R69" s="7">
        <f t="shared" si="22"/>
        <v>0</v>
      </c>
      <c r="S69" s="8"/>
      <c r="T69" s="14">
        <f t="shared" si="23"/>
        <v>1782</v>
      </c>
      <c r="U69" s="15">
        <f t="shared" si="24"/>
        <v>0.8</v>
      </c>
      <c r="V69" s="7">
        <f t="shared" si="25"/>
        <v>0</v>
      </c>
      <c r="W69" s="8"/>
      <c r="X69" s="14">
        <f t="shared" si="26"/>
        <v>2029.4999999999998</v>
      </c>
      <c r="Y69" s="15">
        <f t="shared" si="27"/>
        <v>1.0499999999999998</v>
      </c>
      <c r="Z69" s="7">
        <f t="shared" si="28"/>
        <v>0</v>
      </c>
      <c r="AA69" s="8" t="s">
        <v>262</v>
      </c>
      <c r="AB69" s="8" t="s">
        <v>263</v>
      </c>
      <c r="AC69" s="8" t="s">
        <v>264</v>
      </c>
      <c r="AD69" s="35"/>
      <c r="AE69" s="35"/>
      <c r="AF69" s="35"/>
    </row>
    <row r="70" spans="1:32" hidden="1" x14ac:dyDescent="0.3">
      <c r="A70" s="10">
        <v>470</v>
      </c>
      <c r="B70" s="8"/>
      <c r="C70" s="8">
        <v>0</v>
      </c>
      <c r="D70" s="8"/>
      <c r="E70" s="42">
        <v>2950</v>
      </c>
      <c r="F70" s="7">
        <f t="shared" si="18"/>
        <v>0</v>
      </c>
      <c r="G70" s="8"/>
      <c r="H70" s="7">
        <f t="shared" si="19"/>
        <v>0</v>
      </c>
      <c r="I70" s="7"/>
      <c r="J70" s="8" t="s">
        <v>248</v>
      </c>
      <c r="K70" s="8"/>
      <c r="L70" s="8"/>
      <c r="M70" s="8"/>
      <c r="N70" s="9" t="s">
        <v>265</v>
      </c>
      <c r="O70" s="8"/>
      <c r="P70" s="14">
        <f t="shared" si="20"/>
        <v>4720</v>
      </c>
      <c r="Q70" s="15">
        <f t="shared" si="21"/>
        <v>0.6</v>
      </c>
      <c r="R70" s="7">
        <f t="shared" si="22"/>
        <v>0</v>
      </c>
      <c r="S70" s="8"/>
      <c r="T70" s="14">
        <f t="shared" si="23"/>
        <v>5310</v>
      </c>
      <c r="U70" s="15">
        <f t="shared" si="24"/>
        <v>0.8</v>
      </c>
      <c r="V70" s="7">
        <f t="shared" si="25"/>
        <v>0</v>
      </c>
      <c r="W70" s="8"/>
      <c r="X70" s="14">
        <f t="shared" si="26"/>
        <v>6047.4999999999991</v>
      </c>
      <c r="Y70" s="15">
        <f t="shared" si="27"/>
        <v>1.0499999999999996</v>
      </c>
      <c r="Z70" s="7">
        <f t="shared" si="28"/>
        <v>0</v>
      </c>
      <c r="AA70" s="8" t="s">
        <v>266</v>
      </c>
      <c r="AB70" s="8" t="s">
        <v>267</v>
      </c>
      <c r="AC70" s="8" t="s">
        <v>268</v>
      </c>
      <c r="AD70" s="35"/>
      <c r="AE70" s="35"/>
      <c r="AF70" s="35"/>
    </row>
    <row r="71" spans="1:32" hidden="1" x14ac:dyDescent="0.3">
      <c r="A71" s="10">
        <v>471</v>
      </c>
      <c r="B71" s="8"/>
      <c r="C71" s="8">
        <v>0</v>
      </c>
      <c r="D71" s="8"/>
      <c r="E71" s="42">
        <v>1375</v>
      </c>
      <c r="F71" s="7">
        <f t="shared" si="18"/>
        <v>0</v>
      </c>
      <c r="G71" s="8"/>
      <c r="H71" s="7">
        <f t="shared" si="19"/>
        <v>0</v>
      </c>
      <c r="I71" s="7"/>
      <c r="J71" s="8" t="s">
        <v>248</v>
      </c>
      <c r="K71" s="8"/>
      <c r="L71" s="8"/>
      <c r="M71" s="8"/>
      <c r="N71" s="9" t="s">
        <v>269</v>
      </c>
      <c r="O71" s="8"/>
      <c r="P71" s="14">
        <f t="shared" si="20"/>
        <v>2200</v>
      </c>
      <c r="Q71" s="15">
        <f t="shared" si="21"/>
        <v>0.6</v>
      </c>
      <c r="R71" s="7">
        <f t="shared" si="22"/>
        <v>0</v>
      </c>
      <c r="S71" s="8"/>
      <c r="T71" s="14">
        <f t="shared" si="23"/>
        <v>2475</v>
      </c>
      <c r="U71" s="15">
        <f t="shared" si="24"/>
        <v>0.8</v>
      </c>
      <c r="V71" s="7">
        <f t="shared" si="25"/>
        <v>0</v>
      </c>
      <c r="W71" s="8"/>
      <c r="X71" s="14">
        <f t="shared" si="26"/>
        <v>2818.7499999999995</v>
      </c>
      <c r="Y71" s="15">
        <f t="shared" si="27"/>
        <v>1.0499999999999996</v>
      </c>
      <c r="Z71" s="7">
        <f t="shared" si="28"/>
        <v>0</v>
      </c>
      <c r="AA71" s="8" t="s">
        <v>270</v>
      </c>
      <c r="AB71" s="8" t="s">
        <v>271</v>
      </c>
      <c r="AC71" s="8" t="s">
        <v>272</v>
      </c>
      <c r="AD71" s="35"/>
      <c r="AE71" s="35"/>
      <c r="AF71" s="35"/>
    </row>
    <row r="72" spans="1:32" hidden="1" x14ac:dyDescent="0.3">
      <c r="A72" s="10">
        <v>472</v>
      </c>
      <c r="B72" s="8"/>
      <c r="C72" s="8">
        <v>0</v>
      </c>
      <c r="D72" s="8"/>
      <c r="E72" s="42">
        <v>900</v>
      </c>
      <c r="F72" s="7">
        <f t="shared" si="18"/>
        <v>0</v>
      </c>
      <c r="G72" s="8"/>
      <c r="H72" s="7">
        <f t="shared" si="19"/>
        <v>0</v>
      </c>
      <c r="I72" s="7"/>
      <c r="J72" s="8" t="s">
        <v>248</v>
      </c>
      <c r="K72" s="8"/>
      <c r="L72" s="8"/>
      <c r="M72" s="8"/>
      <c r="N72" s="9" t="s">
        <v>273</v>
      </c>
      <c r="O72" s="8"/>
      <c r="P72" s="14">
        <f t="shared" si="20"/>
        <v>1440</v>
      </c>
      <c r="Q72" s="15">
        <f t="shared" si="21"/>
        <v>0.6</v>
      </c>
      <c r="R72" s="7">
        <f t="shared" si="22"/>
        <v>0</v>
      </c>
      <c r="S72" s="8"/>
      <c r="T72" s="14">
        <f t="shared" si="23"/>
        <v>1620</v>
      </c>
      <c r="U72" s="15">
        <f t="shared" si="24"/>
        <v>0.8</v>
      </c>
      <c r="V72" s="7">
        <f t="shared" si="25"/>
        <v>0</v>
      </c>
      <c r="W72" s="8"/>
      <c r="X72" s="14">
        <f t="shared" si="26"/>
        <v>1844.9999999999998</v>
      </c>
      <c r="Y72" s="15">
        <f t="shared" si="27"/>
        <v>1.0499999999999998</v>
      </c>
      <c r="Z72" s="7">
        <f t="shared" si="28"/>
        <v>0</v>
      </c>
      <c r="AA72" s="8" t="s">
        <v>274</v>
      </c>
      <c r="AB72" s="8" t="s">
        <v>275</v>
      </c>
      <c r="AC72" s="8" t="s">
        <v>276</v>
      </c>
    </row>
    <row r="73" spans="1:32" hidden="1" x14ac:dyDescent="0.3">
      <c r="A73" s="10">
        <v>473</v>
      </c>
      <c r="B73" s="8"/>
      <c r="C73" s="8">
        <v>0</v>
      </c>
      <c r="D73" s="8"/>
      <c r="E73" s="42">
        <v>3300</v>
      </c>
      <c r="F73" s="7">
        <f t="shared" si="18"/>
        <v>0</v>
      </c>
      <c r="G73" s="8"/>
      <c r="H73" s="7">
        <f t="shared" si="19"/>
        <v>0</v>
      </c>
      <c r="I73" s="7"/>
      <c r="J73" s="8" t="s">
        <v>248</v>
      </c>
      <c r="K73" s="8"/>
      <c r="L73" s="8"/>
      <c r="M73" s="8"/>
      <c r="N73" s="9" t="s">
        <v>277</v>
      </c>
      <c r="O73" s="8"/>
      <c r="P73" s="14">
        <f t="shared" si="20"/>
        <v>5280</v>
      </c>
      <c r="Q73" s="15">
        <f t="shared" si="21"/>
        <v>0.6</v>
      </c>
      <c r="R73" s="7">
        <f t="shared" si="22"/>
        <v>0</v>
      </c>
      <c r="S73" s="8"/>
      <c r="T73" s="14">
        <f t="shared" si="23"/>
        <v>5940</v>
      </c>
      <c r="U73" s="15">
        <f t="shared" si="24"/>
        <v>0.8</v>
      </c>
      <c r="V73" s="7">
        <f t="shared" si="25"/>
        <v>0</v>
      </c>
      <c r="W73" s="8"/>
      <c r="X73" s="14">
        <f t="shared" si="26"/>
        <v>6764.9999999999991</v>
      </c>
      <c r="Y73" s="15">
        <f t="shared" si="27"/>
        <v>1.0499999999999998</v>
      </c>
      <c r="Z73" s="7">
        <f t="shared" si="28"/>
        <v>0</v>
      </c>
      <c r="AA73" s="8" t="s">
        <v>278</v>
      </c>
      <c r="AB73" s="8" t="s">
        <v>279</v>
      </c>
      <c r="AC73" s="8"/>
    </row>
    <row r="74" spans="1:32" hidden="1" x14ac:dyDescent="0.3">
      <c r="A74" s="10">
        <v>474</v>
      </c>
      <c r="B74" s="8"/>
      <c r="C74" s="8">
        <v>0</v>
      </c>
      <c r="D74" s="8"/>
      <c r="E74" s="42">
        <v>3300</v>
      </c>
      <c r="F74" s="7">
        <f t="shared" si="18"/>
        <v>0</v>
      </c>
      <c r="G74" s="8"/>
      <c r="H74" s="7">
        <f t="shared" si="19"/>
        <v>0</v>
      </c>
      <c r="I74" s="7"/>
      <c r="J74" s="8" t="s">
        <v>248</v>
      </c>
      <c r="K74" s="8"/>
      <c r="L74" s="8"/>
      <c r="M74" s="8"/>
      <c r="N74" s="9" t="s">
        <v>280</v>
      </c>
      <c r="O74" s="8"/>
      <c r="P74" s="14">
        <f t="shared" si="20"/>
        <v>5280</v>
      </c>
      <c r="Q74" s="15">
        <f t="shared" si="21"/>
        <v>0.6</v>
      </c>
      <c r="R74" s="7">
        <f t="shared" si="22"/>
        <v>0</v>
      </c>
      <c r="S74" s="8"/>
      <c r="T74" s="14">
        <f t="shared" si="23"/>
        <v>5940</v>
      </c>
      <c r="U74" s="15">
        <f t="shared" si="24"/>
        <v>0.8</v>
      </c>
      <c r="V74" s="7">
        <f t="shared" si="25"/>
        <v>0</v>
      </c>
      <c r="W74" s="8"/>
      <c r="X74" s="14">
        <f t="shared" si="26"/>
        <v>6764.9999999999991</v>
      </c>
      <c r="Y74" s="15">
        <f t="shared" si="27"/>
        <v>1.0499999999999998</v>
      </c>
      <c r="Z74" s="7">
        <f t="shared" si="28"/>
        <v>0</v>
      </c>
      <c r="AA74" s="8" t="s">
        <v>281</v>
      </c>
      <c r="AB74" s="8" t="s">
        <v>282</v>
      </c>
      <c r="AC74" s="8" t="s">
        <v>283</v>
      </c>
    </row>
    <row r="75" spans="1:32" hidden="1" x14ac:dyDescent="0.3">
      <c r="A75" s="10">
        <v>475</v>
      </c>
      <c r="B75" s="8"/>
      <c r="C75" s="8">
        <v>0</v>
      </c>
      <c r="D75" s="8"/>
      <c r="E75" s="42">
        <v>1552</v>
      </c>
      <c r="F75" s="7">
        <f t="shared" si="18"/>
        <v>0</v>
      </c>
      <c r="G75" s="8"/>
      <c r="H75" s="7">
        <f t="shared" si="19"/>
        <v>0</v>
      </c>
      <c r="I75" s="7"/>
      <c r="J75" s="8" t="s">
        <v>248</v>
      </c>
      <c r="K75" s="8"/>
      <c r="L75" s="8"/>
      <c r="M75" s="8"/>
      <c r="N75" s="9" t="s">
        <v>284</v>
      </c>
      <c r="O75" s="8"/>
      <c r="P75" s="14">
        <f t="shared" si="20"/>
        <v>2483.2000000000003</v>
      </c>
      <c r="Q75" s="15">
        <f t="shared" si="21"/>
        <v>0.6000000000000002</v>
      </c>
      <c r="R75" s="7">
        <f t="shared" si="22"/>
        <v>0</v>
      </c>
      <c r="S75" s="8"/>
      <c r="T75" s="14">
        <f t="shared" si="23"/>
        <v>2793.6</v>
      </c>
      <c r="U75" s="15">
        <f t="shared" si="24"/>
        <v>0.79999999999999993</v>
      </c>
      <c r="V75" s="7">
        <f t="shared" si="25"/>
        <v>0</v>
      </c>
      <c r="W75" s="8"/>
      <c r="X75" s="14">
        <f t="shared" si="26"/>
        <v>3181.6</v>
      </c>
      <c r="Y75" s="15">
        <f t="shared" si="27"/>
        <v>1.05</v>
      </c>
      <c r="Z75" s="7">
        <f t="shared" si="28"/>
        <v>0</v>
      </c>
      <c r="AA75" s="8" t="s">
        <v>285</v>
      </c>
      <c r="AB75" s="8" t="s">
        <v>286</v>
      </c>
      <c r="AC75" s="8" t="s">
        <v>287</v>
      </c>
    </row>
    <row r="76" spans="1:32" hidden="1" x14ac:dyDescent="0.3">
      <c r="A76" s="10">
        <v>476</v>
      </c>
      <c r="B76" s="8"/>
      <c r="C76" s="8">
        <v>0</v>
      </c>
      <c r="D76" s="8"/>
      <c r="E76" s="42">
        <v>1497</v>
      </c>
      <c r="F76" s="7">
        <f t="shared" si="18"/>
        <v>0</v>
      </c>
      <c r="G76" s="8"/>
      <c r="H76" s="7">
        <f t="shared" si="19"/>
        <v>0</v>
      </c>
      <c r="I76" s="7"/>
      <c r="J76" s="8" t="s">
        <v>248</v>
      </c>
      <c r="K76" s="8"/>
      <c r="L76" s="8"/>
      <c r="M76" s="8"/>
      <c r="N76" s="9" t="s">
        <v>288</v>
      </c>
      <c r="O76" s="8"/>
      <c r="P76" s="14">
        <f t="shared" si="20"/>
        <v>2395.2000000000003</v>
      </c>
      <c r="Q76" s="15">
        <f t="shared" si="21"/>
        <v>0.6000000000000002</v>
      </c>
      <c r="R76" s="7">
        <f t="shared" si="22"/>
        <v>0</v>
      </c>
      <c r="S76" s="8"/>
      <c r="T76" s="14">
        <f t="shared" si="23"/>
        <v>2694.6</v>
      </c>
      <c r="U76" s="15">
        <f t="shared" si="24"/>
        <v>0.79999999999999993</v>
      </c>
      <c r="V76" s="7">
        <f t="shared" si="25"/>
        <v>0</v>
      </c>
      <c r="W76" s="8"/>
      <c r="X76" s="14">
        <f t="shared" si="26"/>
        <v>3068.85</v>
      </c>
      <c r="Y76" s="15">
        <f t="shared" si="27"/>
        <v>1.05</v>
      </c>
      <c r="Z76" s="7">
        <f t="shared" si="28"/>
        <v>0</v>
      </c>
      <c r="AA76" s="8" t="s">
        <v>289</v>
      </c>
      <c r="AB76" s="8" t="s">
        <v>290</v>
      </c>
      <c r="AC76" s="8" t="s">
        <v>291</v>
      </c>
    </row>
    <row r="77" spans="1:32" hidden="1" x14ac:dyDescent="0.3">
      <c r="A77" s="10">
        <v>477</v>
      </c>
      <c r="B77" s="8"/>
      <c r="C77" s="8">
        <v>0</v>
      </c>
      <c r="D77" s="8"/>
      <c r="E77" s="42">
        <v>1450</v>
      </c>
      <c r="F77" s="7">
        <f t="shared" si="18"/>
        <v>0</v>
      </c>
      <c r="G77" s="8"/>
      <c r="H77" s="7">
        <f t="shared" si="19"/>
        <v>0</v>
      </c>
      <c r="I77" s="7"/>
      <c r="J77" s="8" t="s">
        <v>248</v>
      </c>
      <c r="K77" s="8"/>
      <c r="L77" s="8"/>
      <c r="M77" s="8"/>
      <c r="N77" s="9" t="s">
        <v>292</v>
      </c>
      <c r="O77" s="8"/>
      <c r="P77" s="14">
        <f t="shared" si="20"/>
        <v>2320</v>
      </c>
      <c r="Q77" s="15">
        <f t="shared" si="21"/>
        <v>0.6</v>
      </c>
      <c r="R77" s="7">
        <f t="shared" si="22"/>
        <v>0</v>
      </c>
      <c r="S77" s="8"/>
      <c r="T77" s="14">
        <f t="shared" si="23"/>
        <v>2610</v>
      </c>
      <c r="U77" s="15">
        <f t="shared" si="24"/>
        <v>0.8</v>
      </c>
      <c r="V77" s="7">
        <f t="shared" si="25"/>
        <v>0</v>
      </c>
      <c r="W77" s="8"/>
      <c r="X77" s="14">
        <f t="shared" si="26"/>
        <v>2972.4999999999995</v>
      </c>
      <c r="Y77" s="15">
        <f t="shared" si="27"/>
        <v>1.0499999999999996</v>
      </c>
      <c r="Z77" s="7">
        <f t="shared" si="28"/>
        <v>0</v>
      </c>
      <c r="AA77" s="8" t="s">
        <v>293</v>
      </c>
      <c r="AB77" s="8" t="s">
        <v>294</v>
      </c>
      <c r="AC77" s="8" t="s">
        <v>295</v>
      </c>
    </row>
    <row r="78" spans="1:32" hidden="1" x14ac:dyDescent="0.3">
      <c r="A78" s="10">
        <v>478</v>
      </c>
      <c r="B78" s="8"/>
      <c r="C78" s="8">
        <v>0</v>
      </c>
      <c r="D78" s="8"/>
      <c r="E78" s="42">
        <v>2200</v>
      </c>
      <c r="F78" s="7">
        <f t="shared" si="18"/>
        <v>0</v>
      </c>
      <c r="G78" s="8"/>
      <c r="H78" s="7">
        <f t="shared" si="19"/>
        <v>0</v>
      </c>
      <c r="I78" s="7"/>
      <c r="J78" s="8" t="s">
        <v>248</v>
      </c>
      <c r="K78" s="8"/>
      <c r="L78" s="8"/>
      <c r="M78" s="8"/>
      <c r="N78" s="9" t="s">
        <v>296</v>
      </c>
      <c r="O78" s="8"/>
      <c r="P78" s="14">
        <f t="shared" si="20"/>
        <v>3520</v>
      </c>
      <c r="Q78" s="15">
        <f t="shared" si="21"/>
        <v>0.6</v>
      </c>
      <c r="R78" s="7">
        <f t="shared" si="22"/>
        <v>0</v>
      </c>
      <c r="S78" s="8"/>
      <c r="T78" s="14">
        <f t="shared" si="23"/>
        <v>3960</v>
      </c>
      <c r="U78" s="15">
        <f t="shared" si="24"/>
        <v>0.8</v>
      </c>
      <c r="V78" s="7">
        <f t="shared" si="25"/>
        <v>0</v>
      </c>
      <c r="W78" s="8"/>
      <c r="X78" s="14">
        <f t="shared" si="26"/>
        <v>4510</v>
      </c>
      <c r="Y78" s="15">
        <f t="shared" si="27"/>
        <v>1.05</v>
      </c>
      <c r="Z78" s="7">
        <f t="shared" si="28"/>
        <v>0</v>
      </c>
      <c r="AA78" s="8" t="s">
        <v>297</v>
      </c>
      <c r="AB78" s="8" t="s">
        <v>298</v>
      </c>
      <c r="AC78" s="8" t="s">
        <v>299</v>
      </c>
    </row>
    <row r="79" spans="1:32" hidden="1" x14ac:dyDescent="0.3">
      <c r="A79" s="10">
        <v>479</v>
      </c>
      <c r="B79" s="8"/>
      <c r="C79" s="8">
        <v>0</v>
      </c>
      <c r="D79" s="8"/>
      <c r="E79" s="42">
        <v>1375</v>
      </c>
      <c r="F79" s="7">
        <f t="shared" si="18"/>
        <v>0</v>
      </c>
      <c r="G79" s="8"/>
      <c r="H79" s="7">
        <f t="shared" si="19"/>
        <v>0</v>
      </c>
      <c r="I79" s="7"/>
      <c r="J79" s="8" t="s">
        <v>248</v>
      </c>
      <c r="K79" s="8"/>
      <c r="L79" s="8"/>
      <c r="M79" s="8"/>
      <c r="N79" s="9" t="s">
        <v>300</v>
      </c>
      <c r="O79" s="8"/>
      <c r="P79" s="14">
        <f t="shared" si="20"/>
        <v>2200</v>
      </c>
      <c r="Q79" s="15">
        <f t="shared" si="21"/>
        <v>0.6</v>
      </c>
      <c r="R79" s="7">
        <f t="shared" si="22"/>
        <v>0</v>
      </c>
      <c r="S79" s="8"/>
      <c r="T79" s="14">
        <f t="shared" si="23"/>
        <v>2475</v>
      </c>
      <c r="U79" s="15">
        <f t="shared" si="24"/>
        <v>0.8</v>
      </c>
      <c r="V79" s="7">
        <f t="shared" si="25"/>
        <v>0</v>
      </c>
      <c r="W79" s="8"/>
      <c r="X79" s="14">
        <f t="shared" si="26"/>
        <v>2818.7499999999995</v>
      </c>
      <c r="Y79" s="15">
        <f t="shared" si="27"/>
        <v>1.0499999999999996</v>
      </c>
      <c r="Z79" s="7">
        <f t="shared" si="28"/>
        <v>0</v>
      </c>
      <c r="AA79" s="8" t="s">
        <v>301</v>
      </c>
      <c r="AB79" s="8" t="s">
        <v>302</v>
      </c>
      <c r="AC79" s="8" t="s">
        <v>303</v>
      </c>
    </row>
    <row r="80" spans="1:32" hidden="1" x14ac:dyDescent="0.3">
      <c r="A80" s="10">
        <v>480</v>
      </c>
      <c r="B80" s="8"/>
      <c r="C80" s="8">
        <v>0</v>
      </c>
      <c r="D80" s="8"/>
      <c r="E80" s="42">
        <v>1600</v>
      </c>
      <c r="F80" s="7">
        <f t="shared" si="18"/>
        <v>0</v>
      </c>
      <c r="G80" s="8"/>
      <c r="H80" s="7">
        <f t="shared" si="19"/>
        <v>0</v>
      </c>
      <c r="I80" s="7"/>
      <c r="J80" s="8" t="s">
        <v>248</v>
      </c>
      <c r="K80" s="8"/>
      <c r="L80" s="8"/>
      <c r="M80" s="8"/>
      <c r="N80" s="9" t="s">
        <v>304</v>
      </c>
      <c r="O80" s="8"/>
      <c r="P80" s="14">
        <f t="shared" si="20"/>
        <v>2560</v>
      </c>
      <c r="Q80" s="15">
        <f t="shared" si="21"/>
        <v>0.6</v>
      </c>
      <c r="R80" s="7">
        <f t="shared" si="22"/>
        <v>0</v>
      </c>
      <c r="S80" s="8"/>
      <c r="T80" s="14">
        <f t="shared" si="23"/>
        <v>2880</v>
      </c>
      <c r="U80" s="15">
        <f t="shared" si="24"/>
        <v>0.8</v>
      </c>
      <c r="V80" s="7">
        <f t="shared" si="25"/>
        <v>0</v>
      </c>
      <c r="W80" s="8"/>
      <c r="X80" s="14">
        <f t="shared" si="26"/>
        <v>3279.9999999999995</v>
      </c>
      <c r="Y80" s="15">
        <f t="shared" si="27"/>
        <v>1.0499999999999998</v>
      </c>
      <c r="Z80" s="7">
        <f t="shared" si="28"/>
        <v>0</v>
      </c>
      <c r="AA80" s="8" t="s">
        <v>305</v>
      </c>
      <c r="AB80" s="8" t="s">
        <v>306</v>
      </c>
      <c r="AC80" s="8" t="s">
        <v>307</v>
      </c>
    </row>
    <row r="81" spans="1:29" hidden="1" x14ac:dyDescent="0.3">
      <c r="A81" s="10">
        <v>481</v>
      </c>
      <c r="B81" s="8"/>
      <c r="C81" s="8">
        <v>0</v>
      </c>
      <c r="D81" s="8"/>
      <c r="E81" s="42">
        <v>1600</v>
      </c>
      <c r="F81" s="7">
        <f t="shared" si="18"/>
        <v>0</v>
      </c>
      <c r="G81" s="8"/>
      <c r="H81" s="7">
        <f t="shared" si="19"/>
        <v>0</v>
      </c>
      <c r="I81" s="7"/>
      <c r="J81" s="8" t="s">
        <v>248</v>
      </c>
      <c r="K81" s="8"/>
      <c r="L81" s="8"/>
      <c r="M81" s="8"/>
      <c r="N81" s="9" t="s">
        <v>308</v>
      </c>
      <c r="O81" s="8"/>
      <c r="P81" s="14">
        <f t="shared" si="20"/>
        <v>2560</v>
      </c>
      <c r="Q81" s="15">
        <f t="shared" si="21"/>
        <v>0.6</v>
      </c>
      <c r="R81" s="7">
        <f t="shared" si="22"/>
        <v>0</v>
      </c>
      <c r="S81" s="8"/>
      <c r="T81" s="14">
        <f t="shared" si="23"/>
        <v>2880</v>
      </c>
      <c r="U81" s="15">
        <f t="shared" si="24"/>
        <v>0.8</v>
      </c>
      <c r="V81" s="7">
        <f t="shared" si="25"/>
        <v>0</v>
      </c>
      <c r="W81" s="8"/>
      <c r="X81" s="14">
        <f t="shared" si="26"/>
        <v>3279.9999999999995</v>
      </c>
      <c r="Y81" s="15">
        <f t="shared" si="27"/>
        <v>1.0499999999999998</v>
      </c>
      <c r="Z81" s="7">
        <f t="shared" si="28"/>
        <v>0</v>
      </c>
      <c r="AA81" s="8" t="s">
        <v>309</v>
      </c>
      <c r="AB81" s="8" t="s">
        <v>310</v>
      </c>
      <c r="AC81" s="8"/>
    </row>
    <row r="82" spans="1:29" hidden="1" x14ac:dyDescent="0.3">
      <c r="A82" s="10">
        <v>482</v>
      </c>
      <c r="B82" s="8"/>
      <c r="C82" s="8">
        <v>0</v>
      </c>
      <c r="D82" s="8"/>
      <c r="E82" s="42">
        <v>3500</v>
      </c>
      <c r="F82" s="7">
        <f t="shared" si="18"/>
        <v>0</v>
      </c>
      <c r="G82" s="8"/>
      <c r="H82" s="7">
        <f t="shared" si="19"/>
        <v>0</v>
      </c>
      <c r="I82" s="7"/>
      <c r="J82" s="8" t="s">
        <v>248</v>
      </c>
      <c r="K82" s="8"/>
      <c r="L82" s="8"/>
      <c r="M82" s="8"/>
      <c r="N82" s="9" t="s">
        <v>311</v>
      </c>
      <c r="O82" s="8"/>
      <c r="P82" s="14">
        <f t="shared" si="20"/>
        <v>5600</v>
      </c>
      <c r="Q82" s="15">
        <f t="shared" si="21"/>
        <v>0.6</v>
      </c>
      <c r="R82" s="7">
        <f t="shared" si="22"/>
        <v>0</v>
      </c>
      <c r="S82" s="8"/>
      <c r="T82" s="14">
        <f t="shared" si="23"/>
        <v>6300</v>
      </c>
      <c r="U82" s="15">
        <f t="shared" si="24"/>
        <v>0.8</v>
      </c>
      <c r="V82" s="7">
        <f t="shared" si="25"/>
        <v>0</v>
      </c>
      <c r="W82" s="8"/>
      <c r="X82" s="14">
        <f t="shared" si="26"/>
        <v>7174.9999999999991</v>
      </c>
      <c r="Y82" s="15">
        <f t="shared" si="27"/>
        <v>1.0499999999999998</v>
      </c>
      <c r="Z82" s="7">
        <f t="shared" si="28"/>
        <v>0</v>
      </c>
      <c r="AA82" s="8" t="s">
        <v>312</v>
      </c>
      <c r="AB82" s="8" t="s">
        <v>313</v>
      </c>
      <c r="AC82" s="8" t="s">
        <v>314</v>
      </c>
    </row>
    <row r="83" spans="1:29" hidden="1" x14ac:dyDescent="0.3">
      <c r="A83" s="10">
        <v>483</v>
      </c>
      <c r="B83" s="8"/>
      <c r="C83" s="8">
        <v>0</v>
      </c>
      <c r="D83" s="8"/>
      <c r="E83" s="42">
        <v>2500</v>
      </c>
      <c r="F83" s="7">
        <f t="shared" si="18"/>
        <v>0</v>
      </c>
      <c r="G83" s="8"/>
      <c r="H83" s="7">
        <f t="shared" si="19"/>
        <v>0</v>
      </c>
      <c r="I83" s="7"/>
      <c r="J83" s="8" t="s">
        <v>248</v>
      </c>
      <c r="K83" s="8"/>
      <c r="L83" s="8"/>
      <c r="M83" s="8"/>
      <c r="N83" s="9" t="s">
        <v>315</v>
      </c>
      <c r="O83" s="8"/>
      <c r="P83" s="14">
        <f t="shared" si="20"/>
        <v>4000</v>
      </c>
      <c r="Q83" s="15">
        <f t="shared" si="21"/>
        <v>0.6</v>
      </c>
      <c r="R83" s="7">
        <f t="shared" si="22"/>
        <v>0</v>
      </c>
      <c r="S83" s="8"/>
      <c r="T83" s="14">
        <f t="shared" si="23"/>
        <v>4500</v>
      </c>
      <c r="U83" s="15">
        <f t="shared" si="24"/>
        <v>0.8</v>
      </c>
      <c r="V83" s="7">
        <f t="shared" si="25"/>
        <v>0</v>
      </c>
      <c r="W83" s="8"/>
      <c r="X83" s="14">
        <f t="shared" si="26"/>
        <v>5125</v>
      </c>
      <c r="Y83" s="15">
        <f t="shared" si="27"/>
        <v>1.05</v>
      </c>
      <c r="Z83" s="7">
        <f t="shared" si="28"/>
        <v>0</v>
      </c>
      <c r="AA83" s="8" t="s">
        <v>316</v>
      </c>
      <c r="AB83" s="8" t="s">
        <v>317</v>
      </c>
      <c r="AC83" s="8" t="s">
        <v>318</v>
      </c>
    </row>
    <row r="84" spans="1:29" hidden="1" x14ac:dyDescent="0.3">
      <c r="A84" s="10">
        <v>484</v>
      </c>
      <c r="B84" s="8"/>
      <c r="C84" s="8">
        <v>0</v>
      </c>
      <c r="D84" s="8"/>
      <c r="E84" s="42">
        <v>100</v>
      </c>
      <c r="F84" s="7">
        <f t="shared" si="18"/>
        <v>0</v>
      </c>
      <c r="G84" s="8"/>
      <c r="H84" s="7">
        <f t="shared" si="19"/>
        <v>0</v>
      </c>
      <c r="I84" s="7"/>
      <c r="J84" s="8" t="s">
        <v>248</v>
      </c>
      <c r="K84" s="8"/>
      <c r="L84" s="8"/>
      <c r="M84" s="8"/>
      <c r="N84" s="9" t="s">
        <v>319</v>
      </c>
      <c r="O84" s="8"/>
      <c r="P84" s="14">
        <f t="shared" si="20"/>
        <v>160</v>
      </c>
      <c r="Q84" s="15">
        <f t="shared" si="21"/>
        <v>0.6</v>
      </c>
      <c r="R84" s="7">
        <f t="shared" si="22"/>
        <v>0</v>
      </c>
      <c r="S84" s="8"/>
      <c r="T84" s="14">
        <f t="shared" si="23"/>
        <v>180</v>
      </c>
      <c r="U84" s="15">
        <f t="shared" si="24"/>
        <v>0.8</v>
      </c>
      <c r="V84" s="7">
        <f t="shared" si="25"/>
        <v>0</v>
      </c>
      <c r="W84" s="8"/>
      <c r="X84" s="14">
        <f t="shared" si="26"/>
        <v>204.99999999999997</v>
      </c>
      <c r="Y84" s="15">
        <f t="shared" si="27"/>
        <v>1.0499999999999998</v>
      </c>
      <c r="Z84" s="7">
        <f t="shared" si="28"/>
        <v>0</v>
      </c>
      <c r="AA84" s="8" t="s">
        <v>320</v>
      </c>
      <c r="AB84" s="8" t="s">
        <v>321</v>
      </c>
      <c r="AC84" s="8" t="s">
        <v>322</v>
      </c>
    </row>
    <row r="85" spans="1:29" hidden="1" x14ac:dyDescent="0.3">
      <c r="A85" s="10">
        <v>485</v>
      </c>
      <c r="B85" s="8"/>
      <c r="C85" s="8">
        <v>0</v>
      </c>
      <c r="D85" s="8"/>
      <c r="E85" s="42">
        <v>1498</v>
      </c>
      <c r="F85" s="7">
        <f t="shared" si="18"/>
        <v>0</v>
      </c>
      <c r="G85" s="8"/>
      <c r="H85" s="7">
        <f t="shared" si="19"/>
        <v>0</v>
      </c>
      <c r="I85" s="7"/>
      <c r="J85" s="8" t="s">
        <v>248</v>
      </c>
      <c r="K85" s="8"/>
      <c r="L85" s="8"/>
      <c r="M85" s="8"/>
      <c r="N85" s="9" t="s">
        <v>323</v>
      </c>
      <c r="O85" s="8"/>
      <c r="P85" s="14">
        <f t="shared" si="20"/>
        <v>2396.8000000000002</v>
      </c>
      <c r="Q85" s="15">
        <f t="shared" si="21"/>
        <v>0.60000000000000009</v>
      </c>
      <c r="R85" s="7">
        <f t="shared" si="22"/>
        <v>0</v>
      </c>
      <c r="S85" s="8"/>
      <c r="T85" s="14">
        <f t="shared" si="23"/>
        <v>2696.4</v>
      </c>
      <c r="U85" s="15">
        <f t="shared" si="24"/>
        <v>0.8</v>
      </c>
      <c r="V85" s="7">
        <f t="shared" si="25"/>
        <v>0</v>
      </c>
      <c r="W85" s="8"/>
      <c r="X85" s="14">
        <f t="shared" si="26"/>
        <v>3070.8999999999996</v>
      </c>
      <c r="Y85" s="15">
        <f t="shared" si="27"/>
        <v>1.0499999999999998</v>
      </c>
      <c r="Z85" s="7">
        <f t="shared" si="28"/>
        <v>0</v>
      </c>
      <c r="AA85" s="8" t="s">
        <v>324</v>
      </c>
      <c r="AB85" s="8" t="s">
        <v>325</v>
      </c>
      <c r="AC85" s="8" t="s">
        <v>326</v>
      </c>
    </row>
    <row r="86" spans="1:29" hidden="1" x14ac:dyDescent="0.3">
      <c r="A86" s="10">
        <v>486</v>
      </c>
      <c r="B86" s="8"/>
      <c r="C86" s="8">
        <v>0</v>
      </c>
      <c r="D86" s="8"/>
      <c r="E86" s="42">
        <v>1375</v>
      </c>
      <c r="F86" s="7">
        <f t="shared" si="18"/>
        <v>0</v>
      </c>
      <c r="G86" s="8"/>
      <c r="H86" s="7">
        <f t="shared" si="19"/>
        <v>0</v>
      </c>
      <c r="I86" s="7"/>
      <c r="J86" s="8" t="s">
        <v>248</v>
      </c>
      <c r="K86" s="8"/>
      <c r="L86" s="8"/>
      <c r="M86" s="8"/>
      <c r="N86" s="9" t="s">
        <v>327</v>
      </c>
      <c r="O86" s="8"/>
      <c r="P86" s="14">
        <f t="shared" si="20"/>
        <v>2200</v>
      </c>
      <c r="Q86" s="15">
        <f t="shared" si="21"/>
        <v>0.6</v>
      </c>
      <c r="R86" s="7">
        <f t="shared" si="22"/>
        <v>0</v>
      </c>
      <c r="S86" s="8"/>
      <c r="T86" s="14">
        <f t="shared" si="23"/>
        <v>2475</v>
      </c>
      <c r="U86" s="15">
        <f t="shared" si="24"/>
        <v>0.8</v>
      </c>
      <c r="V86" s="7">
        <f t="shared" si="25"/>
        <v>0</v>
      </c>
      <c r="W86" s="8"/>
      <c r="X86" s="14">
        <f t="shared" si="26"/>
        <v>2818.7499999999995</v>
      </c>
      <c r="Y86" s="15">
        <f t="shared" si="27"/>
        <v>1.0499999999999996</v>
      </c>
      <c r="Z86" s="7">
        <f t="shared" si="28"/>
        <v>0</v>
      </c>
      <c r="AA86" s="8" t="s">
        <v>328</v>
      </c>
      <c r="AB86" s="8" t="s">
        <v>329</v>
      </c>
      <c r="AC86" s="8"/>
    </row>
    <row r="87" spans="1:29" hidden="1" x14ac:dyDescent="0.3">
      <c r="A87" s="10">
        <v>487</v>
      </c>
      <c r="B87" s="8"/>
      <c r="C87" s="8">
        <v>0</v>
      </c>
      <c r="D87" s="8"/>
      <c r="E87" s="42">
        <v>1150</v>
      </c>
      <c r="F87" s="7">
        <f t="shared" si="18"/>
        <v>0</v>
      </c>
      <c r="G87" s="8"/>
      <c r="H87" s="7">
        <f t="shared" si="19"/>
        <v>0</v>
      </c>
      <c r="I87" s="7"/>
      <c r="J87" s="8" t="s">
        <v>248</v>
      </c>
      <c r="K87" s="8"/>
      <c r="L87" s="8"/>
      <c r="M87" s="8"/>
      <c r="N87" s="9" t="s">
        <v>330</v>
      </c>
      <c r="O87" s="8"/>
      <c r="P87" s="14">
        <f t="shared" si="20"/>
        <v>1840</v>
      </c>
      <c r="Q87" s="15">
        <f t="shared" si="21"/>
        <v>0.6</v>
      </c>
      <c r="R87" s="7">
        <f t="shared" si="22"/>
        <v>0</v>
      </c>
      <c r="S87" s="8"/>
      <c r="T87" s="14">
        <f t="shared" si="23"/>
        <v>2070</v>
      </c>
      <c r="U87" s="15">
        <f t="shared" si="24"/>
        <v>0.8</v>
      </c>
      <c r="V87" s="7">
        <f t="shared" si="25"/>
        <v>0</v>
      </c>
      <c r="W87" s="8"/>
      <c r="X87" s="14">
        <f t="shared" si="26"/>
        <v>2357.5</v>
      </c>
      <c r="Y87" s="15">
        <f t="shared" si="27"/>
        <v>1.05</v>
      </c>
      <c r="Z87" s="7">
        <f t="shared" si="28"/>
        <v>0</v>
      </c>
      <c r="AA87" s="8" t="s">
        <v>331</v>
      </c>
      <c r="AB87" s="8" t="s">
        <v>332</v>
      </c>
      <c r="AC87" s="8" t="s">
        <v>333</v>
      </c>
    </row>
    <row r="88" spans="1:29" hidden="1" x14ac:dyDescent="0.3">
      <c r="A88" s="10">
        <v>488</v>
      </c>
      <c r="B88" s="8"/>
      <c r="C88" s="8">
        <v>0</v>
      </c>
      <c r="D88" s="8"/>
      <c r="E88" s="42">
        <v>3500</v>
      </c>
      <c r="F88" s="7">
        <f t="shared" si="18"/>
        <v>0</v>
      </c>
      <c r="G88" s="8"/>
      <c r="H88" s="7">
        <f t="shared" si="19"/>
        <v>0</v>
      </c>
      <c r="I88" s="7"/>
      <c r="J88" s="8" t="s">
        <v>248</v>
      </c>
      <c r="K88" s="8"/>
      <c r="L88" s="8"/>
      <c r="M88" s="8"/>
      <c r="N88" s="9" t="s">
        <v>334</v>
      </c>
      <c r="O88" s="8"/>
      <c r="P88" s="14">
        <f t="shared" si="20"/>
        <v>5600</v>
      </c>
      <c r="Q88" s="15">
        <f t="shared" si="21"/>
        <v>0.6</v>
      </c>
      <c r="R88" s="7">
        <f t="shared" si="22"/>
        <v>0</v>
      </c>
      <c r="S88" s="8"/>
      <c r="T88" s="14">
        <f t="shared" si="23"/>
        <v>6300</v>
      </c>
      <c r="U88" s="15">
        <f t="shared" si="24"/>
        <v>0.8</v>
      </c>
      <c r="V88" s="7">
        <f t="shared" si="25"/>
        <v>0</v>
      </c>
      <c r="W88" s="8"/>
      <c r="X88" s="14">
        <f t="shared" si="26"/>
        <v>7174.9999999999991</v>
      </c>
      <c r="Y88" s="15">
        <f t="shared" si="27"/>
        <v>1.0499999999999998</v>
      </c>
      <c r="Z88" s="7">
        <f t="shared" si="28"/>
        <v>0</v>
      </c>
      <c r="AA88" s="8" t="s">
        <v>335</v>
      </c>
      <c r="AB88" s="8" t="s">
        <v>336</v>
      </c>
      <c r="AC88" s="8" t="s">
        <v>337</v>
      </c>
    </row>
    <row r="89" spans="1:29" hidden="1" x14ac:dyDescent="0.3">
      <c r="A89" s="10">
        <v>489</v>
      </c>
      <c r="B89" s="8"/>
      <c r="C89" s="8">
        <v>0</v>
      </c>
      <c r="D89" s="8"/>
      <c r="E89" s="42">
        <v>4400</v>
      </c>
      <c r="F89" s="7">
        <f t="shared" si="18"/>
        <v>0</v>
      </c>
      <c r="G89" s="8"/>
      <c r="H89" s="7">
        <f t="shared" si="19"/>
        <v>0</v>
      </c>
      <c r="I89" s="7"/>
      <c r="J89" s="8" t="s">
        <v>248</v>
      </c>
      <c r="K89" s="8"/>
      <c r="L89" s="8"/>
      <c r="M89" s="8"/>
      <c r="N89" s="9" t="s">
        <v>338</v>
      </c>
      <c r="O89" s="8"/>
      <c r="P89" s="14">
        <f t="shared" si="20"/>
        <v>7040</v>
      </c>
      <c r="Q89" s="15">
        <f t="shared" si="21"/>
        <v>0.6</v>
      </c>
      <c r="R89" s="7">
        <f t="shared" si="22"/>
        <v>0</v>
      </c>
      <c r="S89" s="8"/>
      <c r="T89" s="14">
        <f t="shared" si="23"/>
        <v>7920</v>
      </c>
      <c r="U89" s="15">
        <f t="shared" si="24"/>
        <v>0.8</v>
      </c>
      <c r="V89" s="7">
        <f t="shared" si="25"/>
        <v>0</v>
      </c>
      <c r="W89" s="8"/>
      <c r="X89" s="14">
        <f t="shared" si="26"/>
        <v>9020</v>
      </c>
      <c r="Y89" s="15">
        <f t="shared" si="27"/>
        <v>1.05</v>
      </c>
      <c r="Z89" s="7">
        <f t="shared" si="28"/>
        <v>0</v>
      </c>
      <c r="AA89" s="8" t="s">
        <v>339</v>
      </c>
      <c r="AB89" s="8" t="s">
        <v>340</v>
      </c>
      <c r="AC89" s="8" t="s">
        <v>341</v>
      </c>
    </row>
    <row r="90" spans="1:29" hidden="1" x14ac:dyDescent="0.3">
      <c r="A90" s="10">
        <v>490</v>
      </c>
      <c r="B90" s="8"/>
      <c r="C90" s="8">
        <v>0</v>
      </c>
      <c r="D90" s="8"/>
      <c r="E90" s="42">
        <v>139000</v>
      </c>
      <c r="F90" s="7">
        <f t="shared" si="18"/>
        <v>0</v>
      </c>
      <c r="G90" s="8"/>
      <c r="H90" s="7">
        <f t="shared" si="19"/>
        <v>0</v>
      </c>
      <c r="I90" s="7"/>
      <c r="J90" s="8" t="s">
        <v>342</v>
      </c>
      <c r="K90" s="8"/>
      <c r="L90" s="8"/>
      <c r="M90" s="8"/>
      <c r="N90" s="9" t="s">
        <v>343</v>
      </c>
      <c r="O90" s="8"/>
      <c r="P90" s="14">
        <f t="shared" si="20"/>
        <v>222400</v>
      </c>
      <c r="Q90" s="15">
        <f t="shared" si="21"/>
        <v>0.6</v>
      </c>
      <c r="R90" s="7">
        <f t="shared" si="22"/>
        <v>0</v>
      </c>
      <c r="S90" s="8"/>
      <c r="T90" s="14">
        <f t="shared" si="23"/>
        <v>250200</v>
      </c>
      <c r="U90" s="15">
        <f t="shared" si="24"/>
        <v>0.8</v>
      </c>
      <c r="V90" s="7">
        <f t="shared" si="25"/>
        <v>0</v>
      </c>
      <c r="W90" s="8"/>
      <c r="X90" s="14">
        <f t="shared" si="26"/>
        <v>284950</v>
      </c>
      <c r="Y90" s="15">
        <f t="shared" si="27"/>
        <v>1.05</v>
      </c>
      <c r="Z90" s="7">
        <f t="shared" si="28"/>
        <v>0</v>
      </c>
      <c r="AA90" s="8" t="s">
        <v>344</v>
      </c>
      <c r="AB90" s="8" t="s">
        <v>345</v>
      </c>
      <c r="AC90" s="8" t="s">
        <v>346</v>
      </c>
    </row>
    <row r="91" spans="1:29" hidden="1" x14ac:dyDescent="0.3">
      <c r="A91" s="10">
        <v>491</v>
      </c>
      <c r="B91" s="8"/>
      <c r="C91" s="8">
        <v>0</v>
      </c>
      <c r="D91" s="8"/>
      <c r="E91" s="42">
        <v>20500</v>
      </c>
      <c r="F91" s="7">
        <f t="shared" si="18"/>
        <v>0</v>
      </c>
      <c r="G91" s="8"/>
      <c r="H91" s="7">
        <f t="shared" si="19"/>
        <v>0</v>
      </c>
      <c r="I91" s="7"/>
      <c r="J91" s="8" t="s">
        <v>347</v>
      </c>
      <c r="K91" s="8"/>
      <c r="L91" s="8"/>
      <c r="M91" s="8"/>
      <c r="N91" s="9" t="s">
        <v>348</v>
      </c>
      <c r="O91" s="8"/>
      <c r="P91" s="14">
        <f t="shared" si="20"/>
        <v>32800</v>
      </c>
      <c r="Q91" s="15">
        <f t="shared" si="21"/>
        <v>0.6</v>
      </c>
      <c r="R91" s="7">
        <f t="shared" si="22"/>
        <v>0</v>
      </c>
      <c r="S91" s="8"/>
      <c r="T91" s="14">
        <f t="shared" si="23"/>
        <v>36900</v>
      </c>
      <c r="U91" s="15">
        <f t="shared" si="24"/>
        <v>0.8</v>
      </c>
      <c r="V91" s="7">
        <f t="shared" si="25"/>
        <v>0</v>
      </c>
      <c r="W91" s="8"/>
      <c r="X91" s="14">
        <f t="shared" si="26"/>
        <v>42024.999999999993</v>
      </c>
      <c r="Y91" s="15">
        <f t="shared" si="27"/>
        <v>1.0499999999999996</v>
      </c>
      <c r="Z91" s="7">
        <f t="shared" si="28"/>
        <v>0</v>
      </c>
      <c r="AA91" s="8" t="s">
        <v>349</v>
      </c>
      <c r="AB91" s="8" t="s">
        <v>350</v>
      </c>
      <c r="AC91" s="8" t="s">
        <v>351</v>
      </c>
    </row>
    <row r="92" spans="1:29" hidden="1" x14ac:dyDescent="0.3">
      <c r="A92" s="10">
        <v>492</v>
      </c>
      <c r="B92" s="8"/>
      <c r="C92" s="8">
        <v>0</v>
      </c>
      <c r="D92" s="8"/>
      <c r="E92" s="42">
        <v>71900</v>
      </c>
      <c r="F92" s="7">
        <f t="shared" si="18"/>
        <v>0</v>
      </c>
      <c r="G92" s="8"/>
      <c r="H92" s="7">
        <f t="shared" si="19"/>
        <v>0</v>
      </c>
      <c r="I92" s="7"/>
      <c r="J92" s="8" t="s">
        <v>352</v>
      </c>
      <c r="K92" s="8"/>
      <c r="L92" s="8"/>
      <c r="M92" s="8"/>
      <c r="N92" s="9" t="s">
        <v>353</v>
      </c>
      <c r="O92" s="8"/>
      <c r="P92" s="14">
        <f t="shared" si="20"/>
        <v>115040</v>
      </c>
      <c r="Q92" s="15">
        <f t="shared" si="21"/>
        <v>0.6</v>
      </c>
      <c r="R92" s="7">
        <f t="shared" si="22"/>
        <v>0</v>
      </c>
      <c r="S92" s="8"/>
      <c r="T92" s="14">
        <f t="shared" si="23"/>
        <v>129420</v>
      </c>
      <c r="U92" s="15">
        <f t="shared" si="24"/>
        <v>0.8</v>
      </c>
      <c r="V92" s="7">
        <f t="shared" si="25"/>
        <v>0</v>
      </c>
      <c r="W92" s="8"/>
      <c r="X92" s="14">
        <f t="shared" si="26"/>
        <v>147395</v>
      </c>
      <c r="Y92" s="15">
        <f t="shared" si="27"/>
        <v>1.05</v>
      </c>
      <c r="Z92" s="7">
        <f t="shared" si="28"/>
        <v>0</v>
      </c>
      <c r="AA92" s="8" t="s">
        <v>354</v>
      </c>
      <c r="AB92" s="8" t="s">
        <v>355</v>
      </c>
      <c r="AC92" s="8"/>
    </row>
    <row r="93" spans="1:29" hidden="1" x14ac:dyDescent="0.3">
      <c r="A93" s="10">
        <v>493</v>
      </c>
      <c r="B93" s="8"/>
      <c r="C93" s="8">
        <v>0</v>
      </c>
      <c r="D93" s="8"/>
      <c r="E93" s="42">
        <v>1108</v>
      </c>
      <c r="F93" s="7">
        <f t="shared" si="18"/>
        <v>0</v>
      </c>
      <c r="G93" s="8"/>
      <c r="H93" s="7">
        <f t="shared" si="19"/>
        <v>0</v>
      </c>
      <c r="I93" s="7"/>
      <c r="J93" s="8" t="s">
        <v>352</v>
      </c>
      <c r="K93" s="8"/>
      <c r="L93" s="8"/>
      <c r="M93" s="8"/>
      <c r="N93" s="9" t="s">
        <v>356</v>
      </c>
      <c r="O93" s="8"/>
      <c r="P93" s="14">
        <f t="shared" si="20"/>
        <v>1772.8000000000002</v>
      </c>
      <c r="Q93" s="15">
        <f t="shared" si="21"/>
        <v>0.6000000000000002</v>
      </c>
      <c r="R93" s="7">
        <f t="shared" si="22"/>
        <v>0</v>
      </c>
      <c r="S93" s="8"/>
      <c r="T93" s="14">
        <f t="shared" si="23"/>
        <v>1994.4</v>
      </c>
      <c r="U93" s="15">
        <f t="shared" si="24"/>
        <v>0.8</v>
      </c>
      <c r="V93" s="7">
        <f t="shared" si="25"/>
        <v>0</v>
      </c>
      <c r="W93" s="8"/>
      <c r="X93" s="14">
        <f t="shared" si="26"/>
        <v>2271.3999999999996</v>
      </c>
      <c r="Y93" s="15">
        <f t="shared" si="27"/>
        <v>1.0499999999999996</v>
      </c>
      <c r="Z93" s="7">
        <f t="shared" si="28"/>
        <v>0</v>
      </c>
      <c r="AA93" s="8" t="s">
        <v>357</v>
      </c>
      <c r="AB93" s="8" t="s">
        <v>358</v>
      </c>
      <c r="AC93" s="8"/>
    </row>
    <row r="94" spans="1:29" hidden="1" x14ac:dyDescent="0.3">
      <c r="A94" s="10">
        <v>494</v>
      </c>
      <c r="B94" s="8"/>
      <c r="C94" s="8">
        <v>0</v>
      </c>
      <c r="D94" s="8"/>
      <c r="E94" s="42">
        <v>1108</v>
      </c>
      <c r="F94" s="7">
        <f t="shared" si="18"/>
        <v>0</v>
      </c>
      <c r="G94" s="8"/>
      <c r="H94" s="7">
        <f t="shared" si="19"/>
        <v>0</v>
      </c>
      <c r="I94" s="7"/>
      <c r="J94" s="8" t="s">
        <v>352</v>
      </c>
      <c r="K94" s="8"/>
      <c r="L94" s="8"/>
      <c r="M94" s="8"/>
      <c r="N94" s="9" t="s">
        <v>359</v>
      </c>
      <c r="O94" s="8"/>
      <c r="P94" s="14">
        <f t="shared" si="20"/>
        <v>1772.8000000000002</v>
      </c>
      <c r="Q94" s="15">
        <f t="shared" si="21"/>
        <v>0.6000000000000002</v>
      </c>
      <c r="R94" s="7">
        <f t="shared" si="22"/>
        <v>0</v>
      </c>
      <c r="S94" s="8"/>
      <c r="T94" s="14">
        <f t="shared" si="23"/>
        <v>1994.4</v>
      </c>
      <c r="U94" s="15">
        <f t="shared" si="24"/>
        <v>0.8</v>
      </c>
      <c r="V94" s="7">
        <f t="shared" si="25"/>
        <v>0</v>
      </c>
      <c r="W94" s="8"/>
      <c r="X94" s="14">
        <f t="shared" si="26"/>
        <v>2271.3999999999996</v>
      </c>
      <c r="Y94" s="15">
        <f t="shared" si="27"/>
        <v>1.0499999999999996</v>
      </c>
      <c r="Z94" s="7">
        <f t="shared" si="28"/>
        <v>0</v>
      </c>
      <c r="AA94" s="8" t="s">
        <v>360</v>
      </c>
      <c r="AB94" s="8" t="s">
        <v>361</v>
      </c>
      <c r="AC94" s="8"/>
    </row>
    <row r="95" spans="1:29" hidden="1" x14ac:dyDescent="0.3">
      <c r="A95" s="10">
        <v>495</v>
      </c>
      <c r="B95" s="8"/>
      <c r="C95" s="8">
        <v>0</v>
      </c>
      <c r="D95" s="8"/>
      <c r="E95" s="42">
        <v>1108</v>
      </c>
      <c r="F95" s="7">
        <f t="shared" si="18"/>
        <v>0</v>
      </c>
      <c r="G95" s="8"/>
      <c r="H95" s="7">
        <f t="shared" si="19"/>
        <v>0</v>
      </c>
      <c r="I95" s="7"/>
      <c r="J95" s="8" t="s">
        <v>352</v>
      </c>
      <c r="K95" s="8"/>
      <c r="L95" s="8"/>
      <c r="M95" s="8"/>
      <c r="N95" s="9" t="s">
        <v>362</v>
      </c>
      <c r="O95" s="8"/>
      <c r="P95" s="14">
        <f t="shared" si="20"/>
        <v>1772.8000000000002</v>
      </c>
      <c r="Q95" s="15">
        <f t="shared" si="21"/>
        <v>0.6000000000000002</v>
      </c>
      <c r="R95" s="7">
        <f t="shared" si="22"/>
        <v>0</v>
      </c>
      <c r="S95" s="8"/>
      <c r="T95" s="14">
        <f t="shared" si="23"/>
        <v>1994.4</v>
      </c>
      <c r="U95" s="15">
        <f t="shared" si="24"/>
        <v>0.8</v>
      </c>
      <c r="V95" s="7">
        <f t="shared" si="25"/>
        <v>0</v>
      </c>
      <c r="W95" s="8"/>
      <c r="X95" s="14">
        <f t="shared" si="26"/>
        <v>2271.3999999999996</v>
      </c>
      <c r="Y95" s="15">
        <f t="shared" si="27"/>
        <v>1.0499999999999996</v>
      </c>
      <c r="Z95" s="7">
        <f t="shared" si="28"/>
        <v>0</v>
      </c>
      <c r="AA95" s="8" t="s">
        <v>363</v>
      </c>
      <c r="AB95" s="8" t="s">
        <v>364</v>
      </c>
      <c r="AC95" s="8"/>
    </row>
    <row r="96" spans="1:29" hidden="1" x14ac:dyDescent="0.3">
      <c r="A96" s="10">
        <v>496</v>
      </c>
      <c r="B96" s="8"/>
      <c r="C96" s="8">
        <v>0</v>
      </c>
      <c r="D96" s="8"/>
      <c r="E96" s="42">
        <v>1108</v>
      </c>
      <c r="F96" s="7">
        <f t="shared" si="18"/>
        <v>0</v>
      </c>
      <c r="G96" s="8"/>
      <c r="H96" s="7">
        <f t="shared" si="19"/>
        <v>0</v>
      </c>
      <c r="I96" s="7"/>
      <c r="J96" s="8" t="s">
        <v>352</v>
      </c>
      <c r="K96" s="8"/>
      <c r="L96" s="8"/>
      <c r="M96" s="8"/>
      <c r="N96" s="9" t="s">
        <v>365</v>
      </c>
      <c r="O96" s="8"/>
      <c r="P96" s="14">
        <f t="shared" si="20"/>
        <v>1772.8000000000002</v>
      </c>
      <c r="Q96" s="15">
        <f t="shared" si="21"/>
        <v>0.6000000000000002</v>
      </c>
      <c r="R96" s="7">
        <f t="shared" si="22"/>
        <v>0</v>
      </c>
      <c r="S96" s="8"/>
      <c r="T96" s="14">
        <f t="shared" si="23"/>
        <v>1994.4</v>
      </c>
      <c r="U96" s="15">
        <f t="shared" si="24"/>
        <v>0.8</v>
      </c>
      <c r="V96" s="7">
        <f t="shared" si="25"/>
        <v>0</v>
      </c>
      <c r="W96" s="8"/>
      <c r="X96" s="14">
        <f t="shared" si="26"/>
        <v>2271.3999999999996</v>
      </c>
      <c r="Y96" s="15">
        <f t="shared" si="27"/>
        <v>1.0499999999999996</v>
      </c>
      <c r="Z96" s="7">
        <f t="shared" si="28"/>
        <v>0</v>
      </c>
      <c r="AA96" s="8" t="s">
        <v>366</v>
      </c>
      <c r="AB96" s="8" t="s">
        <v>367</v>
      </c>
      <c r="AC96" s="8"/>
    </row>
    <row r="97" spans="1:29" hidden="1" x14ac:dyDescent="0.3">
      <c r="A97" s="10">
        <v>497</v>
      </c>
      <c r="B97" s="8"/>
      <c r="C97" s="8">
        <v>0</v>
      </c>
      <c r="D97" s="8"/>
      <c r="E97" s="42">
        <v>2819</v>
      </c>
      <c r="F97" s="7">
        <f t="shared" si="18"/>
        <v>0</v>
      </c>
      <c r="G97" s="8"/>
      <c r="H97" s="7">
        <f t="shared" si="19"/>
        <v>0</v>
      </c>
      <c r="I97" s="7"/>
      <c r="J97" s="8" t="s">
        <v>352</v>
      </c>
      <c r="K97" s="8"/>
      <c r="L97" s="8"/>
      <c r="M97" s="8"/>
      <c r="N97" s="9" t="s">
        <v>368</v>
      </c>
      <c r="O97" s="8"/>
      <c r="P97" s="14">
        <f t="shared" si="20"/>
        <v>4510.4000000000005</v>
      </c>
      <c r="Q97" s="15">
        <f t="shared" si="21"/>
        <v>0.6000000000000002</v>
      </c>
      <c r="R97" s="7">
        <f t="shared" si="22"/>
        <v>0</v>
      </c>
      <c r="S97" s="8"/>
      <c r="T97" s="14">
        <f t="shared" si="23"/>
        <v>5074.2</v>
      </c>
      <c r="U97" s="15">
        <f t="shared" si="24"/>
        <v>0.79999999999999993</v>
      </c>
      <c r="V97" s="7">
        <f t="shared" si="25"/>
        <v>0</v>
      </c>
      <c r="W97" s="8"/>
      <c r="X97" s="14">
        <f t="shared" si="26"/>
        <v>5778.95</v>
      </c>
      <c r="Y97" s="15">
        <f t="shared" si="27"/>
        <v>1.05</v>
      </c>
      <c r="Z97" s="7">
        <f t="shared" si="28"/>
        <v>0</v>
      </c>
      <c r="AA97" s="8" t="s">
        <v>369</v>
      </c>
      <c r="AB97" s="8" t="s">
        <v>370</v>
      </c>
      <c r="AC97" s="8" t="s">
        <v>371</v>
      </c>
    </row>
    <row r="98" spans="1:29" hidden="1" x14ac:dyDescent="0.3">
      <c r="A98" s="10">
        <v>498</v>
      </c>
      <c r="B98" s="8"/>
      <c r="C98" s="8">
        <v>0</v>
      </c>
      <c r="D98" s="8"/>
      <c r="E98" s="42">
        <v>2819</v>
      </c>
      <c r="F98" s="7">
        <f t="shared" si="18"/>
        <v>0</v>
      </c>
      <c r="G98" s="8"/>
      <c r="H98" s="7">
        <f t="shared" si="19"/>
        <v>0</v>
      </c>
      <c r="I98" s="7"/>
      <c r="J98" s="8" t="s">
        <v>352</v>
      </c>
      <c r="K98" s="8"/>
      <c r="L98" s="8"/>
      <c r="M98" s="8"/>
      <c r="N98" s="9" t="s">
        <v>372</v>
      </c>
      <c r="O98" s="8"/>
      <c r="P98" s="14">
        <f t="shared" ref="P98:P129" si="29">E98*1.6</f>
        <v>4510.4000000000005</v>
      </c>
      <c r="Q98" s="15">
        <f t="shared" si="21"/>
        <v>0.6000000000000002</v>
      </c>
      <c r="R98" s="7">
        <f t="shared" si="22"/>
        <v>0</v>
      </c>
      <c r="S98" s="8"/>
      <c r="T98" s="14">
        <f t="shared" ref="T98:T129" si="30">E98*1.8</f>
        <v>5074.2</v>
      </c>
      <c r="U98" s="15">
        <f t="shared" ref="U98:U129" si="31">(T98-E98)/E98</f>
        <v>0.79999999999999993</v>
      </c>
      <c r="V98" s="7">
        <f t="shared" ref="V98:V129" si="32">S98*T98</f>
        <v>0</v>
      </c>
      <c r="W98" s="8"/>
      <c r="X98" s="14">
        <f t="shared" ref="X98:X129" si="33">E98*2.05</f>
        <v>5778.95</v>
      </c>
      <c r="Y98" s="15">
        <f t="shared" ref="Y98:Y129" si="34">(X98-E98)/E98</f>
        <v>1.05</v>
      </c>
      <c r="Z98" s="7">
        <f t="shared" ref="Z98:Z129" si="35">W98*X98</f>
        <v>0</v>
      </c>
      <c r="AA98" s="8" t="s">
        <v>373</v>
      </c>
      <c r="AB98" s="8" t="s">
        <v>374</v>
      </c>
      <c r="AC98" s="8" t="s">
        <v>371</v>
      </c>
    </row>
    <row r="99" spans="1:29" hidden="1" x14ac:dyDescent="0.3">
      <c r="A99" s="10">
        <v>499</v>
      </c>
      <c r="B99" s="8"/>
      <c r="C99" s="8">
        <v>0</v>
      </c>
      <c r="D99" s="8"/>
      <c r="E99" s="42">
        <v>4489</v>
      </c>
      <c r="F99" s="7">
        <f t="shared" si="18"/>
        <v>0</v>
      </c>
      <c r="G99" s="8"/>
      <c r="H99" s="7">
        <f t="shared" si="19"/>
        <v>0</v>
      </c>
      <c r="I99" s="7"/>
      <c r="J99" s="8" t="s">
        <v>352</v>
      </c>
      <c r="K99" s="8"/>
      <c r="L99" s="8"/>
      <c r="M99" s="8"/>
      <c r="N99" s="9" t="s">
        <v>375</v>
      </c>
      <c r="O99" s="8"/>
      <c r="P99" s="14">
        <f t="shared" si="29"/>
        <v>7182.4000000000005</v>
      </c>
      <c r="Q99" s="15">
        <f t="shared" si="21"/>
        <v>0.60000000000000009</v>
      </c>
      <c r="R99" s="7">
        <f t="shared" si="22"/>
        <v>0</v>
      </c>
      <c r="S99" s="8"/>
      <c r="T99" s="14">
        <f t="shared" si="30"/>
        <v>8080.2</v>
      </c>
      <c r="U99" s="15">
        <f t="shared" si="31"/>
        <v>0.79999999999999993</v>
      </c>
      <c r="V99" s="7">
        <f t="shared" si="32"/>
        <v>0</v>
      </c>
      <c r="W99" s="8"/>
      <c r="X99" s="14">
        <f t="shared" si="33"/>
        <v>9202.4499999999989</v>
      </c>
      <c r="Y99" s="15">
        <f t="shared" si="34"/>
        <v>1.0499999999999998</v>
      </c>
      <c r="Z99" s="7">
        <f t="shared" si="35"/>
        <v>0</v>
      </c>
      <c r="AA99" s="8" t="s">
        <v>376</v>
      </c>
      <c r="AB99" s="8" t="s">
        <v>377</v>
      </c>
      <c r="AC99" s="8" t="s">
        <v>378</v>
      </c>
    </row>
    <row r="100" spans="1:29" hidden="1" x14ac:dyDescent="0.3">
      <c r="A100" s="10">
        <v>500</v>
      </c>
      <c r="B100" s="8"/>
      <c r="C100" s="8">
        <v>0</v>
      </c>
      <c r="D100" s="8"/>
      <c r="E100" s="42">
        <v>3500</v>
      </c>
      <c r="F100" s="7">
        <f t="shared" si="18"/>
        <v>0</v>
      </c>
      <c r="G100" s="8"/>
      <c r="H100" s="7">
        <f t="shared" si="19"/>
        <v>0</v>
      </c>
      <c r="I100" s="7"/>
      <c r="J100" s="8" t="s">
        <v>352</v>
      </c>
      <c r="K100" s="8"/>
      <c r="L100" s="8"/>
      <c r="M100" s="8"/>
      <c r="N100" s="9" t="s">
        <v>379</v>
      </c>
      <c r="O100" s="8"/>
      <c r="P100" s="14">
        <f t="shared" si="29"/>
        <v>5600</v>
      </c>
      <c r="Q100" s="15">
        <f t="shared" si="21"/>
        <v>0.6</v>
      </c>
      <c r="R100" s="7">
        <f t="shared" si="22"/>
        <v>0</v>
      </c>
      <c r="S100" s="8"/>
      <c r="T100" s="14">
        <f t="shared" si="30"/>
        <v>6300</v>
      </c>
      <c r="U100" s="15">
        <f t="shared" si="31"/>
        <v>0.8</v>
      </c>
      <c r="V100" s="7">
        <f t="shared" si="32"/>
        <v>0</v>
      </c>
      <c r="W100" s="8"/>
      <c r="X100" s="14">
        <f t="shared" si="33"/>
        <v>7174.9999999999991</v>
      </c>
      <c r="Y100" s="15">
        <f t="shared" si="34"/>
        <v>1.0499999999999998</v>
      </c>
      <c r="Z100" s="7">
        <f t="shared" si="35"/>
        <v>0</v>
      </c>
      <c r="AA100" s="8" t="s">
        <v>380</v>
      </c>
      <c r="AB100" s="8" t="s">
        <v>381</v>
      </c>
      <c r="AC100" s="8" t="s">
        <v>382</v>
      </c>
    </row>
    <row r="101" spans="1:29" hidden="1" x14ac:dyDescent="0.3">
      <c r="A101" s="10">
        <v>501</v>
      </c>
      <c r="B101" s="8"/>
      <c r="C101" s="8">
        <v>0</v>
      </c>
      <c r="D101" s="8"/>
      <c r="E101" s="42">
        <v>3689</v>
      </c>
      <c r="F101" s="7">
        <f t="shared" si="18"/>
        <v>0</v>
      </c>
      <c r="G101" s="8"/>
      <c r="H101" s="7">
        <f t="shared" si="19"/>
        <v>0</v>
      </c>
      <c r="I101" s="7"/>
      <c r="J101" s="8" t="s">
        <v>352</v>
      </c>
      <c r="K101" s="8"/>
      <c r="L101" s="8"/>
      <c r="M101" s="8"/>
      <c r="N101" s="9" t="s">
        <v>383</v>
      </c>
      <c r="O101" s="8"/>
      <c r="P101" s="14">
        <f t="shared" si="29"/>
        <v>5902.4000000000005</v>
      </c>
      <c r="Q101" s="15">
        <f t="shared" si="21"/>
        <v>0.6000000000000002</v>
      </c>
      <c r="R101" s="7">
        <f t="shared" si="22"/>
        <v>0</v>
      </c>
      <c r="S101" s="8"/>
      <c r="T101" s="14">
        <f t="shared" si="30"/>
        <v>6640.2</v>
      </c>
      <c r="U101" s="15">
        <f t="shared" si="31"/>
        <v>0.79999999999999993</v>
      </c>
      <c r="V101" s="7">
        <f t="shared" si="32"/>
        <v>0</v>
      </c>
      <c r="W101" s="8"/>
      <c r="X101" s="14">
        <f t="shared" si="33"/>
        <v>7562.4499999999989</v>
      </c>
      <c r="Y101" s="15">
        <f t="shared" si="34"/>
        <v>1.0499999999999996</v>
      </c>
      <c r="Z101" s="7">
        <f t="shared" si="35"/>
        <v>0</v>
      </c>
      <c r="AA101" s="8" t="s">
        <v>384</v>
      </c>
      <c r="AB101" s="8" t="s">
        <v>385</v>
      </c>
      <c r="AC101" s="8" t="s">
        <v>386</v>
      </c>
    </row>
    <row r="102" spans="1:29" hidden="1" x14ac:dyDescent="0.3">
      <c r="A102" s="10">
        <v>502</v>
      </c>
      <c r="B102" s="8"/>
      <c r="C102" s="8">
        <v>0</v>
      </c>
      <c r="D102" s="8"/>
      <c r="E102" s="42">
        <v>26500</v>
      </c>
      <c r="F102" s="7">
        <f t="shared" si="18"/>
        <v>0</v>
      </c>
      <c r="G102" s="8"/>
      <c r="H102" s="7">
        <f t="shared" si="19"/>
        <v>0</v>
      </c>
      <c r="I102" s="7"/>
      <c r="J102" s="8" t="s">
        <v>352</v>
      </c>
      <c r="K102" s="8"/>
      <c r="L102" s="8"/>
      <c r="M102" s="8"/>
      <c r="N102" s="9" t="s">
        <v>387</v>
      </c>
      <c r="O102" s="8"/>
      <c r="P102" s="14">
        <f t="shared" si="29"/>
        <v>42400</v>
      </c>
      <c r="Q102" s="15">
        <f t="shared" si="21"/>
        <v>0.6</v>
      </c>
      <c r="R102" s="7">
        <f t="shared" si="22"/>
        <v>0</v>
      </c>
      <c r="S102" s="8"/>
      <c r="T102" s="14">
        <f t="shared" si="30"/>
        <v>47700</v>
      </c>
      <c r="U102" s="15">
        <f t="shared" si="31"/>
        <v>0.8</v>
      </c>
      <c r="V102" s="7">
        <f t="shared" si="32"/>
        <v>0</v>
      </c>
      <c r="W102" s="8"/>
      <c r="X102" s="14">
        <f t="shared" si="33"/>
        <v>54324.999999999993</v>
      </c>
      <c r="Y102" s="15">
        <f t="shared" si="34"/>
        <v>1.0499999999999998</v>
      </c>
      <c r="Z102" s="7">
        <f t="shared" si="35"/>
        <v>0</v>
      </c>
      <c r="AA102" s="8" t="s">
        <v>388</v>
      </c>
      <c r="AB102" s="8" t="s">
        <v>389</v>
      </c>
      <c r="AC102" s="8" t="s">
        <v>390</v>
      </c>
    </row>
    <row r="103" spans="1:29" hidden="1" x14ac:dyDescent="0.3">
      <c r="A103" s="10">
        <v>503</v>
      </c>
      <c r="B103" s="8"/>
      <c r="C103" s="8">
        <v>0</v>
      </c>
      <c r="D103" s="8"/>
      <c r="E103" s="42">
        <v>22900</v>
      </c>
      <c r="F103" s="7">
        <f t="shared" si="18"/>
        <v>0</v>
      </c>
      <c r="G103" s="8"/>
      <c r="H103" s="7">
        <f t="shared" si="19"/>
        <v>0</v>
      </c>
      <c r="I103" s="7"/>
      <c r="J103" s="8" t="s">
        <v>352</v>
      </c>
      <c r="K103" s="8"/>
      <c r="L103" s="8"/>
      <c r="M103" s="8"/>
      <c r="N103" s="9" t="s">
        <v>391</v>
      </c>
      <c r="O103" s="8"/>
      <c r="P103" s="14">
        <f t="shared" si="29"/>
        <v>36640</v>
      </c>
      <c r="Q103" s="15">
        <f t="shared" si="21"/>
        <v>0.6</v>
      </c>
      <c r="R103" s="7">
        <f t="shared" si="22"/>
        <v>0</v>
      </c>
      <c r="S103" s="8"/>
      <c r="T103" s="14">
        <f t="shared" si="30"/>
        <v>41220</v>
      </c>
      <c r="U103" s="15">
        <f t="shared" si="31"/>
        <v>0.8</v>
      </c>
      <c r="V103" s="7">
        <f t="shared" si="32"/>
        <v>0</v>
      </c>
      <c r="W103" s="8"/>
      <c r="X103" s="14">
        <f t="shared" si="33"/>
        <v>46944.999999999993</v>
      </c>
      <c r="Y103" s="15">
        <f t="shared" si="34"/>
        <v>1.0499999999999996</v>
      </c>
      <c r="Z103" s="7">
        <f t="shared" si="35"/>
        <v>0</v>
      </c>
      <c r="AA103" s="8" t="s">
        <v>392</v>
      </c>
      <c r="AB103" s="8" t="s">
        <v>393</v>
      </c>
      <c r="AC103" s="8"/>
    </row>
    <row r="104" spans="1:29" hidden="1" x14ac:dyDescent="0.3">
      <c r="A104" s="10">
        <v>504</v>
      </c>
      <c r="B104" s="8"/>
      <c r="C104" s="8">
        <v>0</v>
      </c>
      <c r="D104" s="8"/>
      <c r="E104" s="42">
        <v>133000</v>
      </c>
      <c r="F104" s="7">
        <f t="shared" si="18"/>
        <v>0</v>
      </c>
      <c r="G104" s="8"/>
      <c r="H104" s="7">
        <f t="shared" si="19"/>
        <v>0</v>
      </c>
      <c r="I104" s="7"/>
      <c r="J104" s="8" t="s">
        <v>352</v>
      </c>
      <c r="K104" s="8"/>
      <c r="L104" s="8"/>
      <c r="M104" s="8"/>
      <c r="N104" s="9" t="s">
        <v>394</v>
      </c>
      <c r="O104" s="8"/>
      <c r="P104" s="14">
        <f t="shared" si="29"/>
        <v>212800</v>
      </c>
      <c r="Q104" s="15">
        <f t="shared" si="21"/>
        <v>0.6</v>
      </c>
      <c r="R104" s="7">
        <f t="shared" si="22"/>
        <v>0</v>
      </c>
      <c r="S104" s="8"/>
      <c r="T104" s="14">
        <f t="shared" si="30"/>
        <v>239400</v>
      </c>
      <c r="U104" s="15">
        <f t="shared" si="31"/>
        <v>0.8</v>
      </c>
      <c r="V104" s="7">
        <f t="shared" si="32"/>
        <v>0</v>
      </c>
      <c r="W104" s="8"/>
      <c r="X104" s="14">
        <f t="shared" si="33"/>
        <v>272650</v>
      </c>
      <c r="Y104" s="15">
        <f t="shared" si="34"/>
        <v>1.05</v>
      </c>
      <c r="Z104" s="7">
        <f t="shared" si="35"/>
        <v>0</v>
      </c>
      <c r="AA104" s="8" t="s">
        <v>395</v>
      </c>
      <c r="AB104" s="8" t="s">
        <v>396</v>
      </c>
      <c r="AC104" s="8"/>
    </row>
    <row r="105" spans="1:29" hidden="1" x14ac:dyDescent="0.3">
      <c r="A105" s="10">
        <v>505</v>
      </c>
      <c r="B105" s="8"/>
      <c r="C105" s="8">
        <v>0</v>
      </c>
      <c r="D105" s="8"/>
      <c r="E105" s="42">
        <v>19500</v>
      </c>
      <c r="F105" s="7">
        <f t="shared" si="18"/>
        <v>0</v>
      </c>
      <c r="G105" s="8"/>
      <c r="H105" s="7">
        <f t="shared" si="19"/>
        <v>0</v>
      </c>
      <c r="I105" s="7"/>
      <c r="J105" s="8" t="s">
        <v>397</v>
      </c>
      <c r="K105" s="8"/>
      <c r="L105" s="8"/>
      <c r="M105" s="8"/>
      <c r="N105" s="9" t="s">
        <v>398</v>
      </c>
      <c r="O105" s="8"/>
      <c r="P105" s="14">
        <f t="shared" si="29"/>
        <v>31200</v>
      </c>
      <c r="Q105" s="15">
        <f t="shared" si="21"/>
        <v>0.6</v>
      </c>
      <c r="R105" s="7">
        <f t="shared" si="22"/>
        <v>0</v>
      </c>
      <c r="S105" s="8"/>
      <c r="T105" s="14">
        <f t="shared" si="30"/>
        <v>35100</v>
      </c>
      <c r="U105" s="15">
        <f t="shared" si="31"/>
        <v>0.8</v>
      </c>
      <c r="V105" s="7">
        <f t="shared" si="32"/>
        <v>0</v>
      </c>
      <c r="W105" s="8"/>
      <c r="X105" s="14">
        <f t="shared" si="33"/>
        <v>39975</v>
      </c>
      <c r="Y105" s="15">
        <f t="shared" si="34"/>
        <v>1.05</v>
      </c>
      <c r="Z105" s="7">
        <f t="shared" si="35"/>
        <v>0</v>
      </c>
      <c r="AA105" s="8" t="s">
        <v>399</v>
      </c>
      <c r="AB105" s="8" t="s">
        <v>400</v>
      </c>
      <c r="AC105" s="8" t="s">
        <v>401</v>
      </c>
    </row>
    <row r="106" spans="1:29" hidden="1" x14ac:dyDescent="0.3">
      <c r="A106" s="10">
        <v>506</v>
      </c>
      <c r="B106" s="8"/>
      <c r="C106" s="8">
        <v>0</v>
      </c>
      <c r="D106" s="8"/>
      <c r="E106" s="42">
        <v>17500</v>
      </c>
      <c r="F106" s="7">
        <f t="shared" si="18"/>
        <v>0</v>
      </c>
      <c r="G106" s="8"/>
      <c r="H106" s="7">
        <f t="shared" si="19"/>
        <v>0</v>
      </c>
      <c r="I106" s="7"/>
      <c r="J106" s="8" t="s">
        <v>397</v>
      </c>
      <c r="K106" s="8"/>
      <c r="L106" s="8"/>
      <c r="M106" s="8"/>
      <c r="N106" s="9" t="s">
        <v>402</v>
      </c>
      <c r="O106" s="8"/>
      <c r="P106" s="14">
        <f t="shared" si="29"/>
        <v>28000</v>
      </c>
      <c r="Q106" s="15">
        <f t="shared" si="21"/>
        <v>0.6</v>
      </c>
      <c r="R106" s="7">
        <f t="shared" si="22"/>
        <v>0</v>
      </c>
      <c r="S106" s="8"/>
      <c r="T106" s="14">
        <f t="shared" si="30"/>
        <v>31500</v>
      </c>
      <c r="U106" s="15">
        <f t="shared" si="31"/>
        <v>0.8</v>
      </c>
      <c r="V106" s="7">
        <f t="shared" si="32"/>
        <v>0</v>
      </c>
      <c r="W106" s="8"/>
      <c r="X106" s="14">
        <f t="shared" si="33"/>
        <v>35875</v>
      </c>
      <c r="Y106" s="15">
        <f t="shared" si="34"/>
        <v>1.05</v>
      </c>
      <c r="Z106" s="7">
        <f t="shared" si="35"/>
        <v>0</v>
      </c>
      <c r="AA106" s="8" t="s">
        <v>403</v>
      </c>
      <c r="AB106" s="8" t="s">
        <v>404</v>
      </c>
      <c r="AC106" s="8" t="s">
        <v>405</v>
      </c>
    </row>
    <row r="107" spans="1:29" hidden="1" x14ac:dyDescent="0.3">
      <c r="A107" s="10">
        <v>507</v>
      </c>
      <c r="B107" s="8"/>
      <c r="C107" s="8">
        <v>0</v>
      </c>
      <c r="D107" s="8"/>
      <c r="E107" s="42">
        <v>10900</v>
      </c>
      <c r="F107" s="7">
        <f t="shared" si="18"/>
        <v>0</v>
      </c>
      <c r="G107" s="8"/>
      <c r="H107" s="7">
        <f t="shared" si="19"/>
        <v>0</v>
      </c>
      <c r="I107" s="7"/>
      <c r="J107" s="8" t="s">
        <v>397</v>
      </c>
      <c r="K107" s="8"/>
      <c r="L107" s="8"/>
      <c r="M107" s="8"/>
      <c r="N107" s="9" t="s">
        <v>406</v>
      </c>
      <c r="O107" s="8"/>
      <c r="P107" s="14">
        <f t="shared" si="29"/>
        <v>17440</v>
      </c>
      <c r="Q107" s="15">
        <f t="shared" si="21"/>
        <v>0.6</v>
      </c>
      <c r="R107" s="7">
        <f t="shared" si="22"/>
        <v>0</v>
      </c>
      <c r="S107" s="8"/>
      <c r="T107" s="14">
        <f t="shared" si="30"/>
        <v>19620</v>
      </c>
      <c r="U107" s="15">
        <f t="shared" si="31"/>
        <v>0.8</v>
      </c>
      <c r="V107" s="7">
        <f t="shared" si="32"/>
        <v>0</v>
      </c>
      <c r="W107" s="8"/>
      <c r="X107" s="14">
        <f t="shared" si="33"/>
        <v>22344.999999999996</v>
      </c>
      <c r="Y107" s="15">
        <f t="shared" si="34"/>
        <v>1.0499999999999996</v>
      </c>
      <c r="Z107" s="7">
        <f t="shared" si="35"/>
        <v>0</v>
      </c>
      <c r="AA107" s="8" t="s">
        <v>407</v>
      </c>
      <c r="AB107" s="8" t="s">
        <v>408</v>
      </c>
      <c r="AC107" s="8" t="s">
        <v>409</v>
      </c>
    </row>
    <row r="108" spans="1:29" hidden="1" x14ac:dyDescent="0.3">
      <c r="A108" s="10">
        <v>508</v>
      </c>
      <c r="B108" s="8"/>
      <c r="C108" s="8">
        <v>0</v>
      </c>
      <c r="D108" s="8"/>
      <c r="E108" s="42">
        <v>49499</v>
      </c>
      <c r="F108" s="7">
        <f t="shared" si="18"/>
        <v>0</v>
      </c>
      <c r="G108" s="8"/>
      <c r="H108" s="7">
        <f t="shared" si="19"/>
        <v>0</v>
      </c>
      <c r="I108" s="7"/>
      <c r="J108" s="8" t="s">
        <v>397</v>
      </c>
      <c r="K108" s="8"/>
      <c r="L108" s="8"/>
      <c r="M108" s="8"/>
      <c r="N108" s="9" t="s">
        <v>410</v>
      </c>
      <c r="O108" s="8"/>
      <c r="P108" s="14">
        <f t="shared" si="29"/>
        <v>79198.400000000009</v>
      </c>
      <c r="Q108" s="15">
        <f t="shared" si="21"/>
        <v>0.6000000000000002</v>
      </c>
      <c r="R108" s="7">
        <f t="shared" si="22"/>
        <v>0</v>
      </c>
      <c r="S108" s="8"/>
      <c r="T108" s="14">
        <f t="shared" si="30"/>
        <v>89098.2</v>
      </c>
      <c r="U108" s="15">
        <f t="shared" si="31"/>
        <v>0.79999999999999993</v>
      </c>
      <c r="V108" s="7">
        <f t="shared" si="32"/>
        <v>0</v>
      </c>
      <c r="W108" s="8"/>
      <c r="X108" s="14">
        <f t="shared" si="33"/>
        <v>101472.95</v>
      </c>
      <c r="Y108" s="15">
        <f t="shared" si="34"/>
        <v>1.05</v>
      </c>
      <c r="Z108" s="7">
        <f t="shared" si="35"/>
        <v>0</v>
      </c>
      <c r="AA108" s="8" t="s">
        <v>411</v>
      </c>
      <c r="AB108" s="8" t="s">
        <v>412</v>
      </c>
      <c r="AC108" s="8" t="s">
        <v>413</v>
      </c>
    </row>
    <row r="109" spans="1:29" hidden="1" x14ac:dyDescent="0.3">
      <c r="A109" s="10">
        <v>509</v>
      </c>
      <c r="B109" s="8"/>
      <c r="C109" s="8">
        <v>0</v>
      </c>
      <c r="D109" s="8"/>
      <c r="E109" s="42">
        <v>24999</v>
      </c>
      <c r="F109" s="7">
        <f t="shared" si="18"/>
        <v>0</v>
      </c>
      <c r="G109" s="8"/>
      <c r="H109" s="7">
        <f t="shared" si="19"/>
        <v>0</v>
      </c>
      <c r="I109" s="7"/>
      <c r="J109" s="8" t="s">
        <v>397</v>
      </c>
      <c r="K109" s="8"/>
      <c r="L109" s="8"/>
      <c r="M109" s="8"/>
      <c r="N109" s="9" t="s">
        <v>414</v>
      </c>
      <c r="O109" s="8"/>
      <c r="P109" s="14">
        <f t="shared" si="29"/>
        <v>39998.400000000001</v>
      </c>
      <c r="Q109" s="15">
        <f t="shared" si="21"/>
        <v>0.60000000000000009</v>
      </c>
      <c r="R109" s="7">
        <f t="shared" si="22"/>
        <v>0</v>
      </c>
      <c r="S109" s="8"/>
      <c r="T109" s="14">
        <f t="shared" si="30"/>
        <v>44998.200000000004</v>
      </c>
      <c r="U109" s="15">
        <f t="shared" si="31"/>
        <v>0.80000000000000016</v>
      </c>
      <c r="V109" s="7">
        <f t="shared" si="32"/>
        <v>0</v>
      </c>
      <c r="W109" s="8"/>
      <c r="X109" s="14">
        <f t="shared" si="33"/>
        <v>51247.95</v>
      </c>
      <c r="Y109" s="15">
        <f t="shared" si="34"/>
        <v>1.0499999999999998</v>
      </c>
      <c r="Z109" s="7">
        <f t="shared" si="35"/>
        <v>0</v>
      </c>
      <c r="AA109" s="8" t="s">
        <v>415</v>
      </c>
      <c r="AB109" s="8" t="s">
        <v>416</v>
      </c>
      <c r="AC109" s="8" t="s">
        <v>417</v>
      </c>
    </row>
    <row r="110" spans="1:29" hidden="1" x14ac:dyDescent="0.3">
      <c r="A110" s="10">
        <v>510</v>
      </c>
      <c r="B110" s="8"/>
      <c r="C110" s="8">
        <v>0</v>
      </c>
      <c r="D110" s="8"/>
      <c r="E110" s="42">
        <v>22000</v>
      </c>
      <c r="F110" s="7">
        <f t="shared" si="18"/>
        <v>0</v>
      </c>
      <c r="G110" s="8"/>
      <c r="H110" s="7">
        <f t="shared" si="19"/>
        <v>0</v>
      </c>
      <c r="I110" s="7"/>
      <c r="J110" s="8" t="s">
        <v>397</v>
      </c>
      <c r="K110" s="8"/>
      <c r="L110" s="8"/>
      <c r="M110" s="8"/>
      <c r="N110" s="9" t="s">
        <v>418</v>
      </c>
      <c r="O110" s="8"/>
      <c r="P110" s="14">
        <f t="shared" si="29"/>
        <v>35200</v>
      </c>
      <c r="Q110" s="15">
        <f t="shared" si="21"/>
        <v>0.6</v>
      </c>
      <c r="R110" s="7">
        <f t="shared" si="22"/>
        <v>0</v>
      </c>
      <c r="S110" s="8"/>
      <c r="T110" s="14">
        <f t="shared" si="30"/>
        <v>39600</v>
      </c>
      <c r="U110" s="15">
        <f t="shared" si="31"/>
        <v>0.8</v>
      </c>
      <c r="V110" s="7">
        <f t="shared" si="32"/>
        <v>0</v>
      </c>
      <c r="W110" s="8"/>
      <c r="X110" s="14">
        <f t="shared" si="33"/>
        <v>45099.999999999993</v>
      </c>
      <c r="Y110" s="15">
        <f t="shared" si="34"/>
        <v>1.0499999999999996</v>
      </c>
      <c r="Z110" s="7">
        <f t="shared" si="35"/>
        <v>0</v>
      </c>
      <c r="AA110" s="8" t="s">
        <v>419</v>
      </c>
      <c r="AB110" s="8" t="s">
        <v>420</v>
      </c>
      <c r="AC110" s="8"/>
    </row>
    <row r="111" spans="1:29" hidden="1" x14ac:dyDescent="0.3">
      <c r="A111" s="10">
        <v>511</v>
      </c>
      <c r="B111" s="8"/>
      <c r="C111" s="8">
        <v>0</v>
      </c>
      <c r="D111" s="8"/>
      <c r="E111" s="42">
        <v>15500</v>
      </c>
      <c r="F111" s="7">
        <f t="shared" si="18"/>
        <v>0</v>
      </c>
      <c r="G111" s="8"/>
      <c r="H111" s="7">
        <f t="shared" si="19"/>
        <v>0</v>
      </c>
      <c r="I111" s="7"/>
      <c r="J111" s="8" t="s">
        <v>397</v>
      </c>
      <c r="K111" s="8"/>
      <c r="L111" s="8"/>
      <c r="M111" s="8"/>
      <c r="N111" s="9" t="s">
        <v>421</v>
      </c>
      <c r="O111" s="8"/>
      <c r="P111" s="14">
        <f t="shared" si="29"/>
        <v>24800</v>
      </c>
      <c r="Q111" s="15">
        <f t="shared" si="21"/>
        <v>0.6</v>
      </c>
      <c r="R111" s="7">
        <f t="shared" si="22"/>
        <v>0</v>
      </c>
      <c r="S111" s="8"/>
      <c r="T111" s="14">
        <f t="shared" si="30"/>
        <v>27900</v>
      </c>
      <c r="U111" s="15">
        <f t="shared" si="31"/>
        <v>0.8</v>
      </c>
      <c r="V111" s="7">
        <f t="shared" si="32"/>
        <v>0</v>
      </c>
      <c r="W111" s="8"/>
      <c r="X111" s="14">
        <f t="shared" si="33"/>
        <v>31774.999999999996</v>
      </c>
      <c r="Y111" s="15">
        <f t="shared" si="34"/>
        <v>1.0499999999999998</v>
      </c>
      <c r="Z111" s="7">
        <f t="shared" si="35"/>
        <v>0</v>
      </c>
      <c r="AA111" s="8" t="s">
        <v>422</v>
      </c>
      <c r="AB111" s="8" t="s">
        <v>423</v>
      </c>
      <c r="AC111" s="8"/>
    </row>
    <row r="112" spans="1:29" hidden="1" x14ac:dyDescent="0.3">
      <c r="A112" s="10">
        <v>512</v>
      </c>
      <c r="B112" s="8"/>
      <c r="C112" s="8">
        <v>0</v>
      </c>
      <c r="D112" s="8"/>
      <c r="E112" s="42">
        <v>19900</v>
      </c>
      <c r="F112" s="7">
        <f t="shared" si="18"/>
        <v>0</v>
      </c>
      <c r="G112" s="8"/>
      <c r="H112" s="7">
        <f t="shared" si="19"/>
        <v>0</v>
      </c>
      <c r="I112" s="7"/>
      <c r="J112" s="8" t="s">
        <v>397</v>
      </c>
      <c r="K112" s="8"/>
      <c r="L112" s="8"/>
      <c r="M112" s="8"/>
      <c r="N112" s="9" t="s">
        <v>424</v>
      </c>
      <c r="O112" s="8"/>
      <c r="P112" s="14">
        <f t="shared" si="29"/>
        <v>31840</v>
      </c>
      <c r="Q112" s="15">
        <f t="shared" si="21"/>
        <v>0.6</v>
      </c>
      <c r="R112" s="7">
        <f t="shared" si="22"/>
        <v>0</v>
      </c>
      <c r="S112" s="8"/>
      <c r="T112" s="14">
        <f t="shared" si="30"/>
        <v>35820</v>
      </c>
      <c r="U112" s="15">
        <f t="shared" si="31"/>
        <v>0.8</v>
      </c>
      <c r="V112" s="7">
        <f t="shared" si="32"/>
        <v>0</v>
      </c>
      <c r="W112" s="8"/>
      <c r="X112" s="14">
        <f t="shared" si="33"/>
        <v>40795</v>
      </c>
      <c r="Y112" s="15">
        <f t="shared" si="34"/>
        <v>1.05</v>
      </c>
      <c r="Z112" s="7">
        <f t="shared" si="35"/>
        <v>0</v>
      </c>
      <c r="AA112" s="8" t="s">
        <v>425</v>
      </c>
      <c r="AB112" s="8" t="s">
        <v>426</v>
      </c>
      <c r="AC112" s="8"/>
    </row>
    <row r="113" spans="1:29" hidden="1" x14ac:dyDescent="0.3">
      <c r="A113" s="10">
        <v>513</v>
      </c>
      <c r="B113" s="8"/>
      <c r="C113" s="8">
        <v>0</v>
      </c>
      <c r="D113" s="8"/>
      <c r="E113" s="42">
        <v>24800</v>
      </c>
      <c r="F113" s="7">
        <f t="shared" si="18"/>
        <v>0</v>
      </c>
      <c r="G113" s="8"/>
      <c r="H113" s="7">
        <f t="shared" si="19"/>
        <v>0</v>
      </c>
      <c r="I113" s="7"/>
      <c r="J113" s="8" t="s">
        <v>397</v>
      </c>
      <c r="K113" s="8"/>
      <c r="L113" s="8"/>
      <c r="M113" s="8"/>
      <c r="N113" s="9" t="s">
        <v>427</v>
      </c>
      <c r="O113" s="8"/>
      <c r="P113" s="14">
        <f t="shared" si="29"/>
        <v>39680</v>
      </c>
      <c r="Q113" s="15">
        <f t="shared" si="21"/>
        <v>0.6</v>
      </c>
      <c r="R113" s="7">
        <f t="shared" si="22"/>
        <v>0</v>
      </c>
      <c r="S113" s="8"/>
      <c r="T113" s="14">
        <f t="shared" si="30"/>
        <v>44640</v>
      </c>
      <c r="U113" s="15">
        <f t="shared" si="31"/>
        <v>0.8</v>
      </c>
      <c r="V113" s="7">
        <f t="shared" si="32"/>
        <v>0</v>
      </c>
      <c r="W113" s="8"/>
      <c r="X113" s="14">
        <f t="shared" si="33"/>
        <v>50839.999999999993</v>
      </c>
      <c r="Y113" s="15">
        <f t="shared" si="34"/>
        <v>1.0499999999999996</v>
      </c>
      <c r="Z113" s="7">
        <f t="shared" si="35"/>
        <v>0</v>
      </c>
      <c r="AA113" s="8" t="s">
        <v>428</v>
      </c>
      <c r="AB113" s="8" t="s">
        <v>429</v>
      </c>
      <c r="AC113" s="8"/>
    </row>
    <row r="114" spans="1:29" hidden="1" x14ac:dyDescent="0.3">
      <c r="A114" s="10">
        <v>514</v>
      </c>
      <c r="B114" s="8"/>
      <c r="C114" s="8">
        <v>0</v>
      </c>
      <c r="D114" s="8"/>
      <c r="E114" s="42">
        <v>16000</v>
      </c>
      <c r="F114" s="7">
        <f t="shared" si="18"/>
        <v>0</v>
      </c>
      <c r="G114" s="8"/>
      <c r="H114" s="7">
        <f t="shared" si="19"/>
        <v>0</v>
      </c>
      <c r="I114" s="7"/>
      <c r="J114" s="8" t="s">
        <v>397</v>
      </c>
      <c r="K114" s="8"/>
      <c r="L114" s="8"/>
      <c r="M114" s="8"/>
      <c r="N114" s="9" t="s">
        <v>430</v>
      </c>
      <c r="O114" s="8"/>
      <c r="P114" s="14">
        <f t="shared" si="29"/>
        <v>25600</v>
      </c>
      <c r="Q114" s="15">
        <f t="shared" si="21"/>
        <v>0.6</v>
      </c>
      <c r="R114" s="7">
        <f t="shared" si="22"/>
        <v>0</v>
      </c>
      <c r="S114" s="8"/>
      <c r="T114" s="14">
        <f t="shared" si="30"/>
        <v>28800</v>
      </c>
      <c r="U114" s="15">
        <f t="shared" si="31"/>
        <v>0.8</v>
      </c>
      <c r="V114" s="7">
        <f t="shared" si="32"/>
        <v>0</v>
      </c>
      <c r="W114" s="8"/>
      <c r="X114" s="14">
        <f t="shared" si="33"/>
        <v>32800</v>
      </c>
      <c r="Y114" s="15">
        <f t="shared" si="34"/>
        <v>1.05</v>
      </c>
      <c r="Z114" s="7">
        <f t="shared" si="35"/>
        <v>0</v>
      </c>
      <c r="AA114" s="8" t="s">
        <v>431</v>
      </c>
      <c r="AB114" s="8" t="s">
        <v>432</v>
      </c>
      <c r="AC114" s="8" t="s">
        <v>433</v>
      </c>
    </row>
    <row r="115" spans="1:29" hidden="1" x14ac:dyDescent="0.3">
      <c r="A115" s="10">
        <v>515</v>
      </c>
      <c r="B115" s="8"/>
      <c r="C115" s="8">
        <v>0</v>
      </c>
      <c r="D115" s="8"/>
      <c r="E115" s="42">
        <v>115000</v>
      </c>
      <c r="F115" s="7">
        <f t="shared" si="18"/>
        <v>0</v>
      </c>
      <c r="G115" s="8"/>
      <c r="H115" s="7">
        <f t="shared" si="19"/>
        <v>0</v>
      </c>
      <c r="I115" s="7"/>
      <c r="J115" s="8" t="s">
        <v>397</v>
      </c>
      <c r="K115" s="8"/>
      <c r="L115" s="8"/>
      <c r="M115" s="8"/>
      <c r="N115" s="9" t="s">
        <v>434</v>
      </c>
      <c r="O115" s="8"/>
      <c r="P115" s="14">
        <f t="shared" si="29"/>
        <v>184000</v>
      </c>
      <c r="Q115" s="15">
        <f t="shared" si="21"/>
        <v>0.6</v>
      </c>
      <c r="R115" s="7">
        <f t="shared" si="22"/>
        <v>0</v>
      </c>
      <c r="S115" s="8"/>
      <c r="T115" s="14">
        <f t="shared" si="30"/>
        <v>207000</v>
      </c>
      <c r="U115" s="15">
        <f t="shared" si="31"/>
        <v>0.8</v>
      </c>
      <c r="V115" s="7">
        <f t="shared" si="32"/>
        <v>0</v>
      </c>
      <c r="W115" s="8"/>
      <c r="X115" s="14">
        <f t="shared" si="33"/>
        <v>235749.99999999997</v>
      </c>
      <c r="Y115" s="15">
        <f t="shared" si="34"/>
        <v>1.0499999999999998</v>
      </c>
      <c r="Z115" s="7">
        <f t="shared" si="35"/>
        <v>0</v>
      </c>
      <c r="AA115" s="8" t="s">
        <v>435</v>
      </c>
      <c r="AB115" s="8" t="s">
        <v>436</v>
      </c>
      <c r="AC115" s="8" t="s">
        <v>437</v>
      </c>
    </row>
    <row r="116" spans="1:29" hidden="1" x14ac:dyDescent="0.3">
      <c r="A116" s="10">
        <v>516</v>
      </c>
      <c r="B116" s="8"/>
      <c r="C116" s="8">
        <v>0</v>
      </c>
      <c r="D116" s="8"/>
      <c r="E116" s="42">
        <v>45900</v>
      </c>
      <c r="F116" s="7">
        <f t="shared" si="18"/>
        <v>0</v>
      </c>
      <c r="G116" s="8"/>
      <c r="H116" s="7">
        <f t="shared" si="19"/>
        <v>0</v>
      </c>
      <c r="I116" s="7"/>
      <c r="J116" s="8" t="s">
        <v>397</v>
      </c>
      <c r="K116" s="8"/>
      <c r="L116" s="8"/>
      <c r="M116" s="8"/>
      <c r="N116" s="9" t="s">
        <v>438</v>
      </c>
      <c r="O116" s="8"/>
      <c r="P116" s="14">
        <f t="shared" si="29"/>
        <v>73440</v>
      </c>
      <c r="Q116" s="15">
        <f t="shared" si="21"/>
        <v>0.6</v>
      </c>
      <c r="R116" s="7">
        <f t="shared" si="22"/>
        <v>0</v>
      </c>
      <c r="S116" s="8"/>
      <c r="T116" s="14">
        <f t="shared" si="30"/>
        <v>82620</v>
      </c>
      <c r="U116" s="15">
        <f t="shared" si="31"/>
        <v>0.8</v>
      </c>
      <c r="V116" s="7">
        <f t="shared" si="32"/>
        <v>0</v>
      </c>
      <c r="W116" s="8"/>
      <c r="X116" s="14">
        <f t="shared" si="33"/>
        <v>94094.999999999985</v>
      </c>
      <c r="Y116" s="15">
        <f t="shared" si="34"/>
        <v>1.0499999999999996</v>
      </c>
      <c r="Z116" s="7">
        <f t="shared" si="35"/>
        <v>0</v>
      </c>
      <c r="AA116" s="8" t="s">
        <v>439</v>
      </c>
      <c r="AB116" s="8" t="s">
        <v>440</v>
      </c>
      <c r="AC116" s="8"/>
    </row>
    <row r="117" spans="1:29" hidden="1" x14ac:dyDescent="0.3">
      <c r="A117" s="10">
        <v>517</v>
      </c>
      <c r="B117" s="8"/>
      <c r="C117" s="8">
        <v>0</v>
      </c>
      <c r="D117" s="8"/>
      <c r="E117" s="42">
        <v>35000</v>
      </c>
      <c r="F117" s="7">
        <f t="shared" si="18"/>
        <v>0</v>
      </c>
      <c r="G117" s="8"/>
      <c r="H117" s="7">
        <f t="shared" si="19"/>
        <v>0</v>
      </c>
      <c r="I117" s="7"/>
      <c r="J117" s="8" t="s">
        <v>397</v>
      </c>
      <c r="K117" s="8"/>
      <c r="L117" s="8"/>
      <c r="M117" s="8"/>
      <c r="N117" s="9" t="s">
        <v>441</v>
      </c>
      <c r="O117" s="8"/>
      <c r="P117" s="14">
        <f t="shared" si="29"/>
        <v>56000</v>
      </c>
      <c r="Q117" s="15">
        <f t="shared" si="21"/>
        <v>0.6</v>
      </c>
      <c r="R117" s="7">
        <f t="shared" si="22"/>
        <v>0</v>
      </c>
      <c r="S117" s="8"/>
      <c r="T117" s="14">
        <f t="shared" si="30"/>
        <v>63000</v>
      </c>
      <c r="U117" s="15">
        <f t="shared" si="31"/>
        <v>0.8</v>
      </c>
      <c r="V117" s="7">
        <f t="shared" si="32"/>
        <v>0</v>
      </c>
      <c r="W117" s="8"/>
      <c r="X117" s="14">
        <f t="shared" si="33"/>
        <v>71750</v>
      </c>
      <c r="Y117" s="15">
        <f t="shared" si="34"/>
        <v>1.05</v>
      </c>
      <c r="Z117" s="7">
        <f t="shared" si="35"/>
        <v>0</v>
      </c>
      <c r="AA117" s="8" t="s">
        <v>442</v>
      </c>
      <c r="AB117" s="8" t="s">
        <v>443</v>
      </c>
      <c r="AC117" s="8" t="s">
        <v>444</v>
      </c>
    </row>
    <row r="118" spans="1:29" hidden="1" x14ac:dyDescent="0.3">
      <c r="A118" s="10">
        <v>518</v>
      </c>
      <c r="B118" s="8"/>
      <c r="C118" s="8">
        <v>0</v>
      </c>
      <c r="D118" s="8"/>
      <c r="E118" s="42">
        <v>11300</v>
      </c>
      <c r="F118" s="7">
        <f t="shared" si="18"/>
        <v>0</v>
      </c>
      <c r="G118" s="8"/>
      <c r="H118" s="7">
        <f t="shared" si="19"/>
        <v>0</v>
      </c>
      <c r="I118" s="7"/>
      <c r="J118" s="8" t="s">
        <v>445</v>
      </c>
      <c r="K118" s="8"/>
      <c r="L118" s="8"/>
      <c r="M118" s="8"/>
      <c r="N118" s="9" t="s">
        <v>446</v>
      </c>
      <c r="O118" s="8"/>
      <c r="P118" s="14">
        <f t="shared" si="29"/>
        <v>18080</v>
      </c>
      <c r="Q118" s="15">
        <f t="shared" si="21"/>
        <v>0.6</v>
      </c>
      <c r="R118" s="7">
        <f t="shared" si="22"/>
        <v>0</v>
      </c>
      <c r="S118" s="8"/>
      <c r="T118" s="14">
        <f t="shared" si="30"/>
        <v>20340</v>
      </c>
      <c r="U118" s="15">
        <f t="shared" si="31"/>
        <v>0.8</v>
      </c>
      <c r="V118" s="7">
        <f t="shared" si="32"/>
        <v>0</v>
      </c>
      <c r="W118" s="8"/>
      <c r="X118" s="14">
        <f t="shared" si="33"/>
        <v>23164.999999999996</v>
      </c>
      <c r="Y118" s="15">
        <f t="shared" si="34"/>
        <v>1.0499999999999996</v>
      </c>
      <c r="Z118" s="7">
        <f t="shared" si="35"/>
        <v>0</v>
      </c>
      <c r="AA118" s="8" t="s">
        <v>447</v>
      </c>
      <c r="AB118" s="8" t="s">
        <v>448</v>
      </c>
      <c r="AC118" s="8"/>
    </row>
    <row r="119" spans="1:29" hidden="1" x14ac:dyDescent="0.3">
      <c r="A119" s="10">
        <v>519</v>
      </c>
      <c r="B119" s="8"/>
      <c r="C119" s="8">
        <v>0</v>
      </c>
      <c r="D119" s="8"/>
      <c r="E119" s="42">
        <v>1600</v>
      </c>
      <c r="F119" s="7">
        <f t="shared" si="18"/>
        <v>0</v>
      </c>
      <c r="G119" s="8"/>
      <c r="H119" s="7">
        <f t="shared" si="19"/>
        <v>0</v>
      </c>
      <c r="I119" s="7"/>
      <c r="J119" s="8" t="s">
        <v>449</v>
      </c>
      <c r="K119" s="8"/>
      <c r="L119" s="8"/>
      <c r="M119" s="8"/>
      <c r="N119" s="9" t="s">
        <v>450</v>
      </c>
      <c r="O119" s="8"/>
      <c r="P119" s="14">
        <f t="shared" si="29"/>
        <v>2560</v>
      </c>
      <c r="Q119" s="15">
        <f t="shared" si="21"/>
        <v>0.6</v>
      </c>
      <c r="R119" s="7">
        <f t="shared" si="22"/>
        <v>0</v>
      </c>
      <c r="S119" s="8"/>
      <c r="T119" s="14">
        <f t="shared" si="30"/>
        <v>2880</v>
      </c>
      <c r="U119" s="15">
        <f t="shared" si="31"/>
        <v>0.8</v>
      </c>
      <c r="V119" s="7">
        <f t="shared" si="32"/>
        <v>0</v>
      </c>
      <c r="W119" s="8"/>
      <c r="X119" s="14">
        <f t="shared" si="33"/>
        <v>3279.9999999999995</v>
      </c>
      <c r="Y119" s="15">
        <f t="shared" si="34"/>
        <v>1.0499999999999998</v>
      </c>
      <c r="Z119" s="7">
        <f t="shared" si="35"/>
        <v>0</v>
      </c>
      <c r="AA119" s="8" t="s">
        <v>451</v>
      </c>
      <c r="AB119" s="8" t="s">
        <v>452</v>
      </c>
      <c r="AC119" s="8" t="s">
        <v>453</v>
      </c>
    </row>
    <row r="120" spans="1:29" hidden="1" x14ac:dyDescent="0.3">
      <c r="A120" s="10">
        <v>520</v>
      </c>
      <c r="B120" s="8"/>
      <c r="C120" s="8">
        <v>0</v>
      </c>
      <c r="D120" s="8"/>
      <c r="E120" s="42">
        <v>6502</v>
      </c>
      <c r="F120" s="7">
        <f t="shared" si="18"/>
        <v>0</v>
      </c>
      <c r="G120" s="8"/>
      <c r="H120" s="7">
        <f t="shared" si="19"/>
        <v>0</v>
      </c>
      <c r="I120" s="7"/>
      <c r="J120" s="8" t="s">
        <v>454</v>
      </c>
      <c r="K120" s="8"/>
      <c r="L120" s="8"/>
      <c r="M120" s="8"/>
      <c r="N120" s="9" t="s">
        <v>455</v>
      </c>
      <c r="O120" s="8"/>
      <c r="P120" s="14">
        <f t="shared" si="29"/>
        <v>10403.200000000001</v>
      </c>
      <c r="Q120" s="15">
        <f t="shared" si="21"/>
        <v>0.60000000000000009</v>
      </c>
      <c r="R120" s="7">
        <f t="shared" si="22"/>
        <v>0</v>
      </c>
      <c r="S120" s="8"/>
      <c r="T120" s="14">
        <f t="shared" si="30"/>
        <v>11703.6</v>
      </c>
      <c r="U120" s="15">
        <f t="shared" si="31"/>
        <v>0.8</v>
      </c>
      <c r="V120" s="7">
        <f t="shared" si="32"/>
        <v>0</v>
      </c>
      <c r="W120" s="8"/>
      <c r="X120" s="14">
        <f t="shared" si="33"/>
        <v>13329.099999999999</v>
      </c>
      <c r="Y120" s="15">
        <f t="shared" si="34"/>
        <v>1.0499999999999998</v>
      </c>
      <c r="Z120" s="7">
        <f t="shared" si="35"/>
        <v>0</v>
      </c>
      <c r="AA120" s="8" t="s">
        <v>456</v>
      </c>
      <c r="AB120" s="8" t="s">
        <v>457</v>
      </c>
      <c r="AC120" s="8"/>
    </row>
    <row r="121" spans="1:29" hidden="1" x14ac:dyDescent="0.3">
      <c r="A121" s="10">
        <v>521</v>
      </c>
      <c r="B121" s="8"/>
      <c r="C121" s="8">
        <v>0</v>
      </c>
      <c r="D121" s="8"/>
      <c r="E121" s="42">
        <v>10000</v>
      </c>
      <c r="F121" s="7">
        <f t="shared" si="18"/>
        <v>0</v>
      </c>
      <c r="G121" s="8"/>
      <c r="H121" s="7">
        <f t="shared" si="19"/>
        <v>0</v>
      </c>
      <c r="I121" s="7"/>
      <c r="J121" s="8" t="s">
        <v>454</v>
      </c>
      <c r="K121" s="8"/>
      <c r="L121" s="8"/>
      <c r="M121" s="8"/>
      <c r="N121" s="9" t="s">
        <v>458</v>
      </c>
      <c r="O121" s="8"/>
      <c r="P121" s="14">
        <f t="shared" si="29"/>
        <v>16000</v>
      </c>
      <c r="Q121" s="15">
        <f t="shared" si="21"/>
        <v>0.6</v>
      </c>
      <c r="R121" s="7">
        <f t="shared" si="22"/>
        <v>0</v>
      </c>
      <c r="S121" s="8"/>
      <c r="T121" s="14">
        <f t="shared" si="30"/>
        <v>18000</v>
      </c>
      <c r="U121" s="15">
        <f t="shared" si="31"/>
        <v>0.8</v>
      </c>
      <c r="V121" s="7">
        <f t="shared" si="32"/>
        <v>0</v>
      </c>
      <c r="W121" s="8"/>
      <c r="X121" s="14">
        <f t="shared" si="33"/>
        <v>20500</v>
      </c>
      <c r="Y121" s="15">
        <f t="shared" si="34"/>
        <v>1.05</v>
      </c>
      <c r="Z121" s="7">
        <f t="shared" si="35"/>
        <v>0</v>
      </c>
      <c r="AA121" s="8" t="s">
        <v>459</v>
      </c>
      <c r="AB121" s="8" t="s">
        <v>460</v>
      </c>
      <c r="AC121" s="8" t="s">
        <v>461</v>
      </c>
    </row>
    <row r="122" spans="1:29" hidden="1" x14ac:dyDescent="0.3">
      <c r="A122" s="10">
        <v>522</v>
      </c>
      <c r="B122" s="8"/>
      <c r="C122" s="8">
        <v>0</v>
      </c>
      <c r="D122" s="8"/>
      <c r="E122" s="42">
        <v>4999</v>
      </c>
      <c r="F122" s="7">
        <f t="shared" si="18"/>
        <v>0</v>
      </c>
      <c r="G122" s="8"/>
      <c r="H122" s="7">
        <f t="shared" si="19"/>
        <v>0</v>
      </c>
      <c r="I122" s="7"/>
      <c r="J122" s="8" t="s">
        <v>454</v>
      </c>
      <c r="K122" s="8"/>
      <c r="L122" s="8"/>
      <c r="M122" s="8"/>
      <c r="N122" s="9" t="s">
        <v>462</v>
      </c>
      <c r="O122" s="8"/>
      <c r="P122" s="14">
        <f t="shared" si="29"/>
        <v>7998.4000000000005</v>
      </c>
      <c r="Q122" s="15">
        <f t="shared" si="21"/>
        <v>0.60000000000000009</v>
      </c>
      <c r="R122" s="7">
        <f t="shared" si="22"/>
        <v>0</v>
      </c>
      <c r="S122" s="8"/>
      <c r="T122" s="14">
        <f t="shared" si="30"/>
        <v>8998.2000000000007</v>
      </c>
      <c r="U122" s="15">
        <f t="shared" si="31"/>
        <v>0.80000000000000016</v>
      </c>
      <c r="V122" s="7">
        <f t="shared" si="32"/>
        <v>0</v>
      </c>
      <c r="W122" s="8"/>
      <c r="X122" s="14">
        <f t="shared" si="33"/>
        <v>10247.949999999999</v>
      </c>
      <c r="Y122" s="15">
        <f t="shared" si="34"/>
        <v>1.0499999999999998</v>
      </c>
      <c r="Z122" s="7">
        <f t="shared" si="35"/>
        <v>0</v>
      </c>
      <c r="AA122" s="8" t="s">
        <v>463</v>
      </c>
      <c r="AB122" s="8" t="s">
        <v>464</v>
      </c>
      <c r="AC122" s="8"/>
    </row>
    <row r="123" spans="1:29" hidden="1" x14ac:dyDescent="0.3">
      <c r="A123" s="10">
        <v>523</v>
      </c>
      <c r="B123" s="8"/>
      <c r="C123" s="8">
        <v>0</v>
      </c>
      <c r="D123" s="8"/>
      <c r="E123" s="42">
        <v>4498</v>
      </c>
      <c r="F123" s="7">
        <f t="shared" si="18"/>
        <v>0</v>
      </c>
      <c r="G123" s="8"/>
      <c r="H123" s="7">
        <f t="shared" si="19"/>
        <v>0</v>
      </c>
      <c r="I123" s="7"/>
      <c r="J123" s="8" t="s">
        <v>454</v>
      </c>
      <c r="K123" s="8"/>
      <c r="L123" s="8"/>
      <c r="M123" s="8"/>
      <c r="N123" s="9" t="s">
        <v>465</v>
      </c>
      <c r="O123" s="8"/>
      <c r="P123" s="14">
        <f t="shared" si="29"/>
        <v>7196.8</v>
      </c>
      <c r="Q123" s="15">
        <f t="shared" si="21"/>
        <v>0.60000000000000009</v>
      </c>
      <c r="R123" s="7">
        <f t="shared" si="22"/>
        <v>0</v>
      </c>
      <c r="S123" s="8"/>
      <c r="T123" s="14">
        <f t="shared" si="30"/>
        <v>8096.4000000000005</v>
      </c>
      <c r="U123" s="15">
        <f t="shared" si="31"/>
        <v>0.80000000000000016</v>
      </c>
      <c r="V123" s="7">
        <f t="shared" si="32"/>
        <v>0</v>
      </c>
      <c r="W123" s="8"/>
      <c r="X123" s="14">
        <f t="shared" si="33"/>
        <v>9220.9</v>
      </c>
      <c r="Y123" s="15">
        <f t="shared" si="34"/>
        <v>1.0499999999999998</v>
      </c>
      <c r="Z123" s="7">
        <f t="shared" si="35"/>
        <v>0</v>
      </c>
      <c r="AA123" s="8" t="s">
        <v>466</v>
      </c>
      <c r="AB123" s="8" t="s">
        <v>467</v>
      </c>
      <c r="AC123" s="8"/>
    </row>
    <row r="124" spans="1:29" hidden="1" x14ac:dyDescent="0.3">
      <c r="A124" s="10">
        <v>524</v>
      </c>
      <c r="B124" s="8"/>
      <c r="C124" s="8">
        <v>0</v>
      </c>
      <c r="D124" s="8"/>
      <c r="E124" s="42">
        <v>2000</v>
      </c>
      <c r="F124" s="7">
        <f t="shared" si="18"/>
        <v>0</v>
      </c>
      <c r="G124" s="8"/>
      <c r="H124" s="7">
        <f t="shared" si="19"/>
        <v>0</v>
      </c>
      <c r="I124" s="7"/>
      <c r="J124" s="8" t="s">
        <v>454</v>
      </c>
      <c r="K124" s="8"/>
      <c r="L124" s="8"/>
      <c r="M124" s="8"/>
      <c r="N124" s="9" t="s">
        <v>468</v>
      </c>
      <c r="O124" s="8"/>
      <c r="P124" s="14">
        <f t="shared" si="29"/>
        <v>3200</v>
      </c>
      <c r="Q124" s="15">
        <f t="shared" si="21"/>
        <v>0.6</v>
      </c>
      <c r="R124" s="7">
        <f t="shared" si="22"/>
        <v>0</v>
      </c>
      <c r="S124" s="8"/>
      <c r="T124" s="14">
        <f t="shared" si="30"/>
        <v>3600</v>
      </c>
      <c r="U124" s="15">
        <f t="shared" si="31"/>
        <v>0.8</v>
      </c>
      <c r="V124" s="7">
        <f t="shared" si="32"/>
        <v>0</v>
      </c>
      <c r="W124" s="8"/>
      <c r="X124" s="14">
        <f t="shared" si="33"/>
        <v>4100</v>
      </c>
      <c r="Y124" s="15">
        <f t="shared" si="34"/>
        <v>1.05</v>
      </c>
      <c r="Z124" s="7">
        <f t="shared" si="35"/>
        <v>0</v>
      </c>
      <c r="AA124" s="8" t="s">
        <v>469</v>
      </c>
      <c r="AB124" s="8" t="s">
        <v>470</v>
      </c>
      <c r="AC124" s="8"/>
    </row>
    <row r="125" spans="1:29" hidden="1" x14ac:dyDescent="0.3">
      <c r="A125" s="10">
        <v>525</v>
      </c>
      <c r="B125" s="8"/>
      <c r="C125" s="8">
        <v>0</v>
      </c>
      <c r="D125" s="8"/>
      <c r="E125" s="42">
        <v>1600</v>
      </c>
      <c r="F125" s="7">
        <f t="shared" si="18"/>
        <v>0</v>
      </c>
      <c r="G125" s="8"/>
      <c r="H125" s="7">
        <f t="shared" si="19"/>
        <v>0</v>
      </c>
      <c r="I125" s="7"/>
      <c r="J125" s="8" t="s">
        <v>471</v>
      </c>
      <c r="K125" s="8"/>
      <c r="L125" s="8"/>
      <c r="M125" s="8"/>
      <c r="N125" s="9" t="s">
        <v>472</v>
      </c>
      <c r="O125" s="8"/>
      <c r="P125" s="14">
        <f t="shared" si="29"/>
        <v>2560</v>
      </c>
      <c r="Q125" s="15">
        <f t="shared" si="21"/>
        <v>0.6</v>
      </c>
      <c r="R125" s="7">
        <f t="shared" si="22"/>
        <v>0</v>
      </c>
      <c r="S125" s="8"/>
      <c r="T125" s="14">
        <f t="shared" si="30"/>
        <v>2880</v>
      </c>
      <c r="U125" s="15">
        <f t="shared" si="31"/>
        <v>0.8</v>
      </c>
      <c r="V125" s="7">
        <f t="shared" si="32"/>
        <v>0</v>
      </c>
      <c r="W125" s="8"/>
      <c r="X125" s="14">
        <f t="shared" si="33"/>
        <v>3279.9999999999995</v>
      </c>
      <c r="Y125" s="15">
        <f t="shared" si="34"/>
        <v>1.0499999999999998</v>
      </c>
      <c r="Z125" s="7">
        <f t="shared" si="35"/>
        <v>0</v>
      </c>
      <c r="AA125" s="8" t="s">
        <v>473</v>
      </c>
      <c r="AB125" s="8" t="s">
        <v>474</v>
      </c>
      <c r="AC125" s="8" t="s">
        <v>475</v>
      </c>
    </row>
    <row r="126" spans="1:29" hidden="1" x14ac:dyDescent="0.3">
      <c r="A126" s="10">
        <v>526</v>
      </c>
      <c r="B126" s="8"/>
      <c r="C126" s="8">
        <v>0</v>
      </c>
      <c r="D126" s="8"/>
      <c r="E126" s="42">
        <v>450</v>
      </c>
      <c r="F126" s="7">
        <f t="shared" si="18"/>
        <v>0</v>
      </c>
      <c r="G126" s="8"/>
      <c r="H126" s="7">
        <f t="shared" si="19"/>
        <v>0</v>
      </c>
      <c r="I126" s="7"/>
      <c r="J126" s="8" t="s">
        <v>471</v>
      </c>
      <c r="K126" s="8"/>
      <c r="L126" s="8"/>
      <c r="M126" s="8"/>
      <c r="N126" s="9" t="s">
        <v>476</v>
      </c>
      <c r="O126" s="8"/>
      <c r="P126" s="14">
        <f t="shared" si="29"/>
        <v>720</v>
      </c>
      <c r="Q126" s="15">
        <f t="shared" si="21"/>
        <v>0.6</v>
      </c>
      <c r="R126" s="7">
        <f t="shared" si="22"/>
        <v>0</v>
      </c>
      <c r="S126" s="8"/>
      <c r="T126" s="14">
        <f t="shared" si="30"/>
        <v>810</v>
      </c>
      <c r="U126" s="15">
        <f t="shared" si="31"/>
        <v>0.8</v>
      </c>
      <c r="V126" s="7">
        <f t="shared" si="32"/>
        <v>0</v>
      </c>
      <c r="W126" s="8"/>
      <c r="X126" s="14">
        <f t="shared" si="33"/>
        <v>922.49999999999989</v>
      </c>
      <c r="Y126" s="15">
        <f t="shared" si="34"/>
        <v>1.0499999999999998</v>
      </c>
      <c r="Z126" s="7">
        <f t="shared" si="35"/>
        <v>0</v>
      </c>
      <c r="AA126" s="8" t="s">
        <v>477</v>
      </c>
      <c r="AB126" s="8" t="s">
        <v>478</v>
      </c>
      <c r="AC126" s="8" t="s">
        <v>479</v>
      </c>
    </row>
    <row r="127" spans="1:29" hidden="1" x14ac:dyDescent="0.3">
      <c r="A127" s="10">
        <v>527</v>
      </c>
      <c r="B127" s="8"/>
      <c r="C127" s="8">
        <v>0</v>
      </c>
      <c r="D127" s="8"/>
      <c r="E127" s="42">
        <v>350</v>
      </c>
      <c r="F127" s="7">
        <f t="shared" si="18"/>
        <v>0</v>
      </c>
      <c r="G127" s="8"/>
      <c r="H127" s="7">
        <f t="shared" si="19"/>
        <v>0</v>
      </c>
      <c r="I127" s="7"/>
      <c r="J127" s="8" t="s">
        <v>471</v>
      </c>
      <c r="K127" s="8"/>
      <c r="L127" s="8"/>
      <c r="M127" s="8"/>
      <c r="N127" s="9" t="s">
        <v>480</v>
      </c>
      <c r="O127" s="8"/>
      <c r="P127" s="14">
        <f t="shared" si="29"/>
        <v>560</v>
      </c>
      <c r="Q127" s="15">
        <f t="shared" si="21"/>
        <v>0.6</v>
      </c>
      <c r="R127" s="7">
        <f t="shared" si="22"/>
        <v>0</v>
      </c>
      <c r="S127" s="8"/>
      <c r="T127" s="14">
        <f t="shared" si="30"/>
        <v>630</v>
      </c>
      <c r="U127" s="15">
        <f t="shared" si="31"/>
        <v>0.8</v>
      </c>
      <c r="V127" s="7">
        <f t="shared" si="32"/>
        <v>0</v>
      </c>
      <c r="W127" s="8"/>
      <c r="X127" s="14">
        <f t="shared" si="33"/>
        <v>717.49999999999989</v>
      </c>
      <c r="Y127" s="15">
        <f t="shared" si="34"/>
        <v>1.0499999999999996</v>
      </c>
      <c r="Z127" s="7">
        <f t="shared" si="35"/>
        <v>0</v>
      </c>
      <c r="AA127" s="8" t="s">
        <v>481</v>
      </c>
      <c r="AB127" s="8" t="s">
        <v>482</v>
      </c>
      <c r="AC127" s="8" t="s">
        <v>483</v>
      </c>
    </row>
    <row r="128" spans="1:29" hidden="1" x14ac:dyDescent="0.3">
      <c r="A128" s="10">
        <v>528</v>
      </c>
      <c r="B128" s="8"/>
      <c r="C128" s="8">
        <v>0</v>
      </c>
      <c r="D128" s="8"/>
      <c r="E128" s="42">
        <v>1600</v>
      </c>
      <c r="F128" s="7">
        <f t="shared" si="18"/>
        <v>0</v>
      </c>
      <c r="G128" s="8"/>
      <c r="H128" s="7">
        <f t="shared" si="19"/>
        <v>0</v>
      </c>
      <c r="I128" s="7"/>
      <c r="J128" s="8" t="s">
        <v>471</v>
      </c>
      <c r="K128" s="8"/>
      <c r="L128" s="8"/>
      <c r="M128" s="8"/>
      <c r="N128" s="9" t="s">
        <v>484</v>
      </c>
      <c r="O128" s="8"/>
      <c r="P128" s="14">
        <f t="shared" si="29"/>
        <v>2560</v>
      </c>
      <c r="Q128" s="15">
        <f t="shared" si="21"/>
        <v>0.6</v>
      </c>
      <c r="R128" s="7">
        <f t="shared" si="22"/>
        <v>0</v>
      </c>
      <c r="S128" s="8"/>
      <c r="T128" s="14">
        <f t="shared" si="30"/>
        <v>2880</v>
      </c>
      <c r="U128" s="15">
        <f t="shared" si="31"/>
        <v>0.8</v>
      </c>
      <c r="V128" s="7">
        <f t="shared" si="32"/>
        <v>0</v>
      </c>
      <c r="W128" s="8"/>
      <c r="X128" s="14">
        <f t="shared" si="33"/>
        <v>3279.9999999999995</v>
      </c>
      <c r="Y128" s="15">
        <f t="shared" si="34"/>
        <v>1.0499999999999998</v>
      </c>
      <c r="Z128" s="7">
        <f t="shared" si="35"/>
        <v>0</v>
      </c>
      <c r="AA128" s="8" t="s">
        <v>485</v>
      </c>
      <c r="AB128" s="8" t="s">
        <v>486</v>
      </c>
      <c r="AC128" s="8" t="s">
        <v>487</v>
      </c>
    </row>
    <row r="129" spans="1:29" hidden="1" x14ac:dyDescent="0.3">
      <c r="A129" s="10">
        <v>529</v>
      </c>
      <c r="B129" s="8"/>
      <c r="C129" s="8">
        <v>0</v>
      </c>
      <c r="D129" s="8"/>
      <c r="E129" s="42">
        <v>32000</v>
      </c>
      <c r="F129" s="7">
        <f t="shared" si="18"/>
        <v>0</v>
      </c>
      <c r="G129" s="8"/>
      <c r="H129" s="7">
        <f t="shared" si="19"/>
        <v>0</v>
      </c>
      <c r="I129" s="7"/>
      <c r="J129" s="8" t="s">
        <v>488</v>
      </c>
      <c r="K129" s="8"/>
      <c r="L129" s="8"/>
      <c r="M129" s="8"/>
      <c r="N129" s="9" t="s">
        <v>489</v>
      </c>
      <c r="O129" s="8"/>
      <c r="P129" s="14">
        <f t="shared" si="29"/>
        <v>51200</v>
      </c>
      <c r="Q129" s="15">
        <f t="shared" si="21"/>
        <v>0.6</v>
      </c>
      <c r="R129" s="7">
        <f t="shared" si="22"/>
        <v>0</v>
      </c>
      <c r="S129" s="8"/>
      <c r="T129" s="14">
        <f t="shared" si="30"/>
        <v>57600</v>
      </c>
      <c r="U129" s="15">
        <f t="shared" si="31"/>
        <v>0.8</v>
      </c>
      <c r="V129" s="7">
        <f t="shared" si="32"/>
        <v>0</v>
      </c>
      <c r="W129" s="8"/>
      <c r="X129" s="14">
        <f t="shared" si="33"/>
        <v>65600</v>
      </c>
      <c r="Y129" s="15">
        <f t="shared" si="34"/>
        <v>1.05</v>
      </c>
      <c r="Z129" s="7">
        <f t="shared" si="35"/>
        <v>0</v>
      </c>
      <c r="AA129" s="8" t="s">
        <v>490</v>
      </c>
      <c r="AB129" s="8" t="s">
        <v>491</v>
      </c>
      <c r="AC129" s="8" t="s">
        <v>492</v>
      </c>
    </row>
    <row r="130" spans="1:29" hidden="1" x14ac:dyDescent="0.3">
      <c r="A130" s="10">
        <v>530</v>
      </c>
      <c r="B130" s="8"/>
      <c r="C130" s="8">
        <v>0</v>
      </c>
      <c r="D130" s="8"/>
      <c r="E130" s="42">
        <v>14499</v>
      </c>
      <c r="F130" s="7">
        <f t="shared" ref="F130:F136" si="36">D130*E130</f>
        <v>0</v>
      </c>
      <c r="G130" s="8"/>
      <c r="H130" s="7">
        <f t="shared" ref="H130:H136" si="37">E130*G130</f>
        <v>0</v>
      </c>
      <c r="I130" s="7"/>
      <c r="J130" s="8" t="s">
        <v>488</v>
      </c>
      <c r="K130" s="8"/>
      <c r="L130" s="8"/>
      <c r="M130" s="8"/>
      <c r="N130" s="9" t="s">
        <v>493</v>
      </c>
      <c r="O130" s="8"/>
      <c r="P130" s="14">
        <f t="shared" ref="P130:P136" si="38">E130*1.6</f>
        <v>23198.400000000001</v>
      </c>
      <c r="Q130" s="15">
        <f t="shared" ref="Q130:Q193" si="39">(P130-E130)/E130</f>
        <v>0.60000000000000009</v>
      </c>
      <c r="R130" s="7">
        <f t="shared" ref="R130:R136" si="40">O130*P130</f>
        <v>0</v>
      </c>
      <c r="S130" s="8"/>
      <c r="T130" s="14">
        <f t="shared" ref="T130:T137" si="41">E130*1.8</f>
        <v>26098.2</v>
      </c>
      <c r="U130" s="15">
        <f t="shared" ref="U130:U161" si="42">(T130-E130)/E130</f>
        <v>0.8</v>
      </c>
      <c r="V130" s="7">
        <f t="shared" ref="V130:V136" si="43">S130*T130</f>
        <v>0</v>
      </c>
      <c r="W130" s="8"/>
      <c r="X130" s="14">
        <f t="shared" ref="X130:X137" si="44">E130*2.05</f>
        <v>29722.949999999997</v>
      </c>
      <c r="Y130" s="15">
        <f t="shared" ref="Y130:Y161" si="45">(X130-E130)/E130</f>
        <v>1.0499999999999998</v>
      </c>
      <c r="Z130" s="7">
        <f t="shared" ref="Z130:Z136" si="46">W130*X130</f>
        <v>0</v>
      </c>
      <c r="AA130" s="8" t="s">
        <v>494</v>
      </c>
      <c r="AB130" s="8" t="s">
        <v>495</v>
      </c>
      <c r="AC130" s="8" t="s">
        <v>496</v>
      </c>
    </row>
    <row r="131" spans="1:29" hidden="1" x14ac:dyDescent="0.3">
      <c r="A131" s="10">
        <v>531</v>
      </c>
      <c r="B131" s="8"/>
      <c r="C131" s="8">
        <v>0</v>
      </c>
      <c r="D131" s="8"/>
      <c r="E131" s="42">
        <v>23499</v>
      </c>
      <c r="F131" s="7">
        <f t="shared" si="36"/>
        <v>0</v>
      </c>
      <c r="G131" s="8"/>
      <c r="H131" s="7">
        <f t="shared" si="37"/>
        <v>0</v>
      </c>
      <c r="I131" s="7"/>
      <c r="J131" s="8" t="s">
        <v>488</v>
      </c>
      <c r="K131" s="8"/>
      <c r="L131" s="8"/>
      <c r="M131" s="8"/>
      <c r="N131" s="9" t="s">
        <v>497</v>
      </c>
      <c r="O131" s="8"/>
      <c r="P131" s="14">
        <f t="shared" si="38"/>
        <v>37598.400000000001</v>
      </c>
      <c r="Q131" s="15">
        <f t="shared" si="39"/>
        <v>0.60000000000000009</v>
      </c>
      <c r="R131" s="7">
        <f t="shared" si="40"/>
        <v>0</v>
      </c>
      <c r="S131" s="8"/>
      <c r="T131" s="14">
        <f t="shared" si="41"/>
        <v>42298.200000000004</v>
      </c>
      <c r="U131" s="15">
        <f t="shared" si="42"/>
        <v>0.80000000000000016</v>
      </c>
      <c r="V131" s="7">
        <f t="shared" si="43"/>
        <v>0</v>
      </c>
      <c r="W131" s="8"/>
      <c r="X131" s="14">
        <f t="shared" si="44"/>
        <v>48172.95</v>
      </c>
      <c r="Y131" s="15">
        <f t="shared" si="45"/>
        <v>1.0499999999999998</v>
      </c>
      <c r="Z131" s="7">
        <f t="shared" si="46"/>
        <v>0</v>
      </c>
      <c r="AA131" s="8" t="s">
        <v>498</v>
      </c>
      <c r="AB131" s="8" t="s">
        <v>499</v>
      </c>
      <c r="AC131" s="8" t="s">
        <v>500</v>
      </c>
    </row>
    <row r="132" spans="1:29" hidden="1" x14ac:dyDescent="0.3">
      <c r="A132" s="10">
        <v>532</v>
      </c>
      <c r="B132" s="8"/>
      <c r="C132" s="8">
        <v>0</v>
      </c>
      <c r="D132" s="8"/>
      <c r="E132" s="42">
        <v>15500</v>
      </c>
      <c r="F132" s="7">
        <f t="shared" si="36"/>
        <v>0</v>
      </c>
      <c r="G132" s="8"/>
      <c r="H132" s="7">
        <f t="shared" si="37"/>
        <v>0</v>
      </c>
      <c r="I132" s="7"/>
      <c r="J132" s="8" t="s">
        <v>488</v>
      </c>
      <c r="K132" s="8"/>
      <c r="L132" s="8"/>
      <c r="M132" s="8"/>
      <c r="N132" s="9" t="s">
        <v>501</v>
      </c>
      <c r="O132" s="8"/>
      <c r="P132" s="14">
        <f t="shared" si="38"/>
        <v>24800</v>
      </c>
      <c r="Q132" s="15">
        <f t="shared" si="39"/>
        <v>0.6</v>
      </c>
      <c r="R132" s="7">
        <f t="shared" si="40"/>
        <v>0</v>
      </c>
      <c r="S132" s="8"/>
      <c r="T132" s="14">
        <f t="shared" si="41"/>
        <v>27900</v>
      </c>
      <c r="U132" s="15">
        <f t="shared" si="42"/>
        <v>0.8</v>
      </c>
      <c r="V132" s="7">
        <f t="shared" si="43"/>
        <v>0</v>
      </c>
      <c r="W132" s="8"/>
      <c r="X132" s="14">
        <f t="shared" si="44"/>
        <v>31774.999999999996</v>
      </c>
      <c r="Y132" s="15">
        <f t="shared" si="45"/>
        <v>1.0499999999999998</v>
      </c>
      <c r="Z132" s="7">
        <f t="shared" si="46"/>
        <v>0</v>
      </c>
      <c r="AA132" s="8" t="s">
        <v>502</v>
      </c>
      <c r="AB132" s="8" t="s">
        <v>503</v>
      </c>
      <c r="AC132" s="8" t="s">
        <v>504</v>
      </c>
    </row>
    <row r="133" spans="1:29" hidden="1" x14ac:dyDescent="0.3">
      <c r="A133" s="10">
        <v>533</v>
      </c>
      <c r="B133" s="8"/>
      <c r="C133" s="8">
        <v>0</v>
      </c>
      <c r="D133" s="8"/>
      <c r="E133" s="42">
        <v>19500</v>
      </c>
      <c r="F133" s="7">
        <f t="shared" si="36"/>
        <v>0</v>
      </c>
      <c r="G133" s="8"/>
      <c r="H133" s="7">
        <f t="shared" si="37"/>
        <v>0</v>
      </c>
      <c r="I133" s="7"/>
      <c r="J133" s="8" t="s">
        <v>488</v>
      </c>
      <c r="K133" s="8"/>
      <c r="L133" s="8"/>
      <c r="M133" s="8"/>
      <c r="N133" s="9" t="s">
        <v>505</v>
      </c>
      <c r="O133" s="8"/>
      <c r="P133" s="14">
        <f t="shared" si="38"/>
        <v>31200</v>
      </c>
      <c r="Q133" s="15">
        <f t="shared" si="39"/>
        <v>0.6</v>
      </c>
      <c r="R133" s="7">
        <f t="shared" si="40"/>
        <v>0</v>
      </c>
      <c r="S133" s="8"/>
      <c r="T133" s="14">
        <f t="shared" si="41"/>
        <v>35100</v>
      </c>
      <c r="U133" s="15">
        <f t="shared" si="42"/>
        <v>0.8</v>
      </c>
      <c r="V133" s="7">
        <f t="shared" si="43"/>
        <v>0</v>
      </c>
      <c r="W133" s="8"/>
      <c r="X133" s="14">
        <f t="shared" si="44"/>
        <v>39975</v>
      </c>
      <c r="Y133" s="15">
        <f t="shared" si="45"/>
        <v>1.05</v>
      </c>
      <c r="Z133" s="7">
        <f t="shared" si="46"/>
        <v>0</v>
      </c>
      <c r="AA133" s="8" t="s">
        <v>506</v>
      </c>
      <c r="AB133" s="8" t="s">
        <v>507</v>
      </c>
      <c r="AC133" s="8"/>
    </row>
    <row r="134" spans="1:29" hidden="1" x14ac:dyDescent="0.3">
      <c r="A134" s="10">
        <v>534</v>
      </c>
      <c r="B134" s="8"/>
      <c r="C134" s="8">
        <v>0</v>
      </c>
      <c r="D134" s="8"/>
      <c r="E134" s="42">
        <v>1050</v>
      </c>
      <c r="F134" s="7">
        <f t="shared" si="36"/>
        <v>0</v>
      </c>
      <c r="G134" s="8"/>
      <c r="H134" s="7">
        <f t="shared" si="37"/>
        <v>0</v>
      </c>
      <c r="I134" s="7"/>
      <c r="J134" s="8" t="s">
        <v>508</v>
      </c>
      <c r="K134" s="8"/>
      <c r="L134" s="8"/>
      <c r="M134" s="8"/>
      <c r="N134" s="9" t="s">
        <v>509</v>
      </c>
      <c r="O134" s="8"/>
      <c r="P134" s="14">
        <f t="shared" si="38"/>
        <v>1680</v>
      </c>
      <c r="Q134" s="15">
        <f t="shared" si="39"/>
        <v>0.6</v>
      </c>
      <c r="R134" s="7">
        <f t="shared" si="40"/>
        <v>0</v>
      </c>
      <c r="S134" s="8"/>
      <c r="T134" s="14">
        <f t="shared" si="41"/>
        <v>1890</v>
      </c>
      <c r="U134" s="15">
        <f t="shared" si="42"/>
        <v>0.8</v>
      </c>
      <c r="V134" s="7">
        <f t="shared" si="43"/>
        <v>0</v>
      </c>
      <c r="W134" s="8"/>
      <c r="X134" s="14">
        <f t="shared" si="44"/>
        <v>2152.5</v>
      </c>
      <c r="Y134" s="15">
        <f t="shared" si="45"/>
        <v>1.05</v>
      </c>
      <c r="Z134" s="7">
        <f t="shared" si="46"/>
        <v>0</v>
      </c>
      <c r="AA134" s="8" t="s">
        <v>510</v>
      </c>
      <c r="AB134" s="8" t="s">
        <v>511</v>
      </c>
      <c r="AC134" s="8" t="s">
        <v>512</v>
      </c>
    </row>
    <row r="135" spans="1:29" hidden="1" x14ac:dyDescent="0.3">
      <c r="A135" s="8">
        <v>571</v>
      </c>
      <c r="B135" s="8"/>
      <c r="C135" s="8">
        <v>0</v>
      </c>
      <c r="D135" s="8"/>
      <c r="E135" s="47">
        <v>208000</v>
      </c>
      <c r="F135" s="7">
        <f t="shared" si="36"/>
        <v>0</v>
      </c>
      <c r="G135" s="8"/>
      <c r="H135" s="7">
        <f t="shared" si="37"/>
        <v>0</v>
      </c>
      <c r="I135" s="7"/>
      <c r="J135" s="8" t="s">
        <v>397</v>
      </c>
      <c r="K135" s="8"/>
      <c r="L135" s="8"/>
      <c r="M135" s="8"/>
      <c r="N135" s="9" t="s">
        <v>513</v>
      </c>
      <c r="O135" s="8"/>
      <c r="P135" s="47">
        <f t="shared" si="38"/>
        <v>332800</v>
      </c>
      <c r="Q135" s="15">
        <f t="shared" si="39"/>
        <v>0.6</v>
      </c>
      <c r="R135" s="48">
        <f t="shared" si="40"/>
        <v>0</v>
      </c>
      <c r="S135" s="8"/>
      <c r="T135" s="47">
        <f t="shared" si="41"/>
        <v>374400</v>
      </c>
      <c r="U135" s="15">
        <f t="shared" si="42"/>
        <v>0.8</v>
      </c>
      <c r="V135" s="7">
        <f t="shared" si="43"/>
        <v>0</v>
      </c>
      <c r="W135" s="8"/>
      <c r="X135" s="47">
        <f t="shared" si="44"/>
        <v>426399.99999999994</v>
      </c>
      <c r="Y135" s="15">
        <f t="shared" si="45"/>
        <v>1.0499999999999998</v>
      </c>
      <c r="Z135" s="7">
        <f t="shared" si="46"/>
        <v>0</v>
      </c>
      <c r="AA135" s="8" t="s">
        <v>514</v>
      </c>
      <c r="AB135" s="8" t="s">
        <v>515</v>
      </c>
      <c r="AC135" s="8"/>
    </row>
    <row r="136" spans="1:29" hidden="1" x14ac:dyDescent="0.3">
      <c r="A136" s="8">
        <v>575</v>
      </c>
      <c r="B136" s="8"/>
      <c r="C136" s="8">
        <v>0</v>
      </c>
      <c r="D136" s="8"/>
      <c r="E136" s="47">
        <v>45900</v>
      </c>
      <c r="F136" s="7">
        <f t="shared" si="36"/>
        <v>0</v>
      </c>
      <c r="G136" s="8"/>
      <c r="H136" s="7">
        <f t="shared" si="37"/>
        <v>0</v>
      </c>
      <c r="I136" s="7"/>
      <c r="J136" s="8" t="s">
        <v>397</v>
      </c>
      <c r="K136" s="8"/>
      <c r="L136" s="8"/>
      <c r="M136" s="8"/>
      <c r="N136" s="9" t="s">
        <v>516</v>
      </c>
      <c r="O136" s="8"/>
      <c r="P136" s="47">
        <f t="shared" si="38"/>
        <v>73440</v>
      </c>
      <c r="Q136" s="15">
        <f t="shared" si="39"/>
        <v>0.6</v>
      </c>
      <c r="R136" s="48">
        <f t="shared" si="40"/>
        <v>0</v>
      </c>
      <c r="S136" s="8"/>
      <c r="T136" s="47">
        <f t="shared" si="41"/>
        <v>82620</v>
      </c>
      <c r="U136" s="15">
        <f t="shared" si="42"/>
        <v>0.8</v>
      </c>
      <c r="V136" s="7">
        <f t="shared" si="43"/>
        <v>0</v>
      </c>
      <c r="W136" s="8"/>
      <c r="X136" s="47">
        <f t="shared" si="44"/>
        <v>94094.999999999985</v>
      </c>
      <c r="Y136" s="15">
        <f t="shared" si="45"/>
        <v>1.0499999999999996</v>
      </c>
      <c r="Z136" s="7">
        <f t="shared" si="46"/>
        <v>0</v>
      </c>
      <c r="AA136" s="8" t="s">
        <v>439</v>
      </c>
      <c r="AB136" s="8" t="s">
        <v>440</v>
      </c>
      <c r="AC136" s="8"/>
    </row>
    <row r="137" spans="1:29" x14ac:dyDescent="0.3">
      <c r="A137" s="10">
        <v>137</v>
      </c>
      <c r="B137" s="2"/>
      <c r="C137" s="2">
        <v>1</v>
      </c>
      <c r="D137" s="10"/>
      <c r="E137" s="40">
        <v>1100</v>
      </c>
      <c r="F137" s="11">
        <f t="shared" ref="F137:F200" si="47">D137*E137</f>
        <v>0</v>
      </c>
      <c r="G137" s="10"/>
      <c r="H137" s="11">
        <f t="shared" ref="H137:H200" si="48">E137*G137</f>
        <v>0</v>
      </c>
      <c r="I137" s="66">
        <v>1</v>
      </c>
      <c r="J137" s="10" t="s">
        <v>178</v>
      </c>
      <c r="K137" s="10"/>
      <c r="L137" s="10"/>
      <c r="M137" s="10"/>
      <c r="N137" s="12" t="s">
        <v>522</v>
      </c>
      <c r="O137" s="10"/>
      <c r="P137" s="58">
        <v>2000</v>
      </c>
      <c r="Q137" s="13">
        <f t="shared" si="39"/>
        <v>0.81818181818181823</v>
      </c>
      <c r="R137" s="11">
        <f t="shared" ref="R137:R168" si="49">O137*P137</f>
        <v>0</v>
      </c>
      <c r="S137" s="10"/>
      <c r="T137" s="58">
        <f t="shared" si="41"/>
        <v>1980</v>
      </c>
      <c r="U137" s="13">
        <f t="shared" si="42"/>
        <v>0.8</v>
      </c>
      <c r="V137" s="11">
        <f t="shared" ref="V137:V178" si="50">S137*T137</f>
        <v>0</v>
      </c>
      <c r="W137" s="10"/>
      <c r="X137" s="58">
        <f t="shared" si="44"/>
        <v>2255</v>
      </c>
      <c r="Y137" s="13">
        <f t="shared" si="45"/>
        <v>1.05</v>
      </c>
      <c r="Z137" s="11">
        <f t="shared" ref="Z137:Z178" si="51">W137*X137</f>
        <v>0</v>
      </c>
      <c r="AA137" s="10" t="s">
        <v>523</v>
      </c>
      <c r="AB137" s="10" t="s">
        <v>524</v>
      </c>
      <c r="AC137" s="2" t="s">
        <v>525</v>
      </c>
    </row>
    <row r="138" spans="1:29" x14ac:dyDescent="0.3">
      <c r="A138" s="49">
        <v>29</v>
      </c>
      <c r="B138" s="49">
        <v>45</v>
      </c>
      <c r="C138" s="49">
        <v>4</v>
      </c>
      <c r="D138" s="49">
        <v>18</v>
      </c>
      <c r="E138" s="50">
        <v>1199</v>
      </c>
      <c r="F138" s="51">
        <f t="shared" si="47"/>
        <v>21582</v>
      </c>
      <c r="G138" s="49"/>
      <c r="H138" s="51">
        <f t="shared" si="48"/>
        <v>0</v>
      </c>
      <c r="I138" s="67">
        <v>2</v>
      </c>
      <c r="J138" s="51" t="s">
        <v>178</v>
      </c>
      <c r="K138" s="51"/>
      <c r="L138" s="51" t="s">
        <v>517</v>
      </c>
      <c r="M138" s="51" t="s">
        <v>518</v>
      </c>
      <c r="N138" s="52" t="s">
        <v>519</v>
      </c>
      <c r="O138" s="49">
        <v>18</v>
      </c>
      <c r="P138" s="70">
        <v>2000</v>
      </c>
      <c r="Q138" s="55">
        <f t="shared" si="39"/>
        <v>0.66805671392827359</v>
      </c>
      <c r="R138" s="54">
        <f t="shared" si="49"/>
        <v>36000</v>
      </c>
      <c r="S138" s="49"/>
      <c r="T138" s="50">
        <v>2500</v>
      </c>
      <c r="U138" s="53">
        <f t="shared" si="42"/>
        <v>1.085070892410342</v>
      </c>
      <c r="V138" s="51">
        <f t="shared" si="50"/>
        <v>0</v>
      </c>
      <c r="W138" s="49"/>
      <c r="X138" s="50">
        <v>3000</v>
      </c>
      <c r="Y138" s="53">
        <f t="shared" si="45"/>
        <v>1.5020850708924103</v>
      </c>
      <c r="Z138" s="51">
        <f t="shared" si="51"/>
        <v>0</v>
      </c>
      <c r="AA138" s="49" t="s">
        <v>520</v>
      </c>
      <c r="AB138" s="49"/>
      <c r="AC138" s="49"/>
    </row>
    <row r="139" spans="1:29" x14ac:dyDescent="0.3">
      <c r="A139" s="49">
        <v>30</v>
      </c>
      <c r="B139" s="49">
        <v>46</v>
      </c>
      <c r="C139" s="49">
        <v>4</v>
      </c>
      <c r="D139" s="49">
        <v>28</v>
      </c>
      <c r="E139" s="50">
        <v>1199</v>
      </c>
      <c r="F139" s="51">
        <f t="shared" si="47"/>
        <v>33572</v>
      </c>
      <c r="G139" s="49"/>
      <c r="H139" s="51">
        <f t="shared" si="48"/>
        <v>0</v>
      </c>
      <c r="I139" s="66">
        <v>3</v>
      </c>
      <c r="J139" s="51" t="s">
        <v>178</v>
      </c>
      <c r="K139" s="51"/>
      <c r="L139" s="51" t="s">
        <v>517</v>
      </c>
      <c r="M139" s="51" t="s">
        <v>518</v>
      </c>
      <c r="N139" s="52" t="s">
        <v>521</v>
      </c>
      <c r="O139" s="49">
        <v>28</v>
      </c>
      <c r="P139" s="70">
        <v>2000</v>
      </c>
      <c r="Q139" s="55">
        <f t="shared" si="39"/>
        <v>0.66805671392827359</v>
      </c>
      <c r="R139" s="54">
        <f t="shared" si="49"/>
        <v>56000</v>
      </c>
      <c r="S139" s="49"/>
      <c r="T139" s="50">
        <v>2500</v>
      </c>
      <c r="U139" s="53">
        <f t="shared" si="42"/>
        <v>1.085070892410342</v>
      </c>
      <c r="V139" s="51">
        <f t="shared" si="50"/>
        <v>0</v>
      </c>
      <c r="W139" s="49"/>
      <c r="X139" s="50">
        <v>3000</v>
      </c>
      <c r="Y139" s="53">
        <f t="shared" si="45"/>
        <v>1.5020850708924103</v>
      </c>
      <c r="Z139" s="51">
        <f t="shared" si="51"/>
        <v>0</v>
      </c>
      <c r="AA139" s="49" t="s">
        <v>520</v>
      </c>
      <c r="AB139" s="49"/>
      <c r="AC139" s="49"/>
    </row>
    <row r="140" spans="1:29" x14ac:dyDescent="0.3">
      <c r="A140" s="49">
        <v>31</v>
      </c>
      <c r="B140" s="49">
        <v>31</v>
      </c>
      <c r="C140" s="49">
        <v>4</v>
      </c>
      <c r="D140" s="49">
        <v>7</v>
      </c>
      <c r="E140" s="50">
        <v>2600</v>
      </c>
      <c r="F140" s="51">
        <f t="shared" si="47"/>
        <v>18200</v>
      </c>
      <c r="G140" s="49"/>
      <c r="H140" s="51">
        <f t="shared" si="48"/>
        <v>0</v>
      </c>
      <c r="I140" s="67">
        <v>4</v>
      </c>
      <c r="J140" s="51" t="s">
        <v>178</v>
      </c>
      <c r="K140" s="51"/>
      <c r="L140" s="51" t="s">
        <v>517</v>
      </c>
      <c r="M140" s="51" t="s">
        <v>518</v>
      </c>
      <c r="N140" s="52" t="s">
        <v>526</v>
      </c>
      <c r="O140" s="49">
        <v>7</v>
      </c>
      <c r="P140" s="70">
        <v>3900</v>
      </c>
      <c r="Q140" s="53">
        <f t="shared" si="39"/>
        <v>0.5</v>
      </c>
      <c r="R140" s="54">
        <f t="shared" si="49"/>
        <v>27300</v>
      </c>
      <c r="S140" s="49"/>
      <c r="T140" s="50">
        <v>4500</v>
      </c>
      <c r="U140" s="53">
        <f t="shared" si="42"/>
        <v>0.73076923076923073</v>
      </c>
      <c r="V140" s="51">
        <f t="shared" si="50"/>
        <v>0</v>
      </c>
      <c r="W140" s="49"/>
      <c r="X140" s="50">
        <v>5500</v>
      </c>
      <c r="Y140" s="53">
        <f t="shared" si="45"/>
        <v>1.1153846153846154</v>
      </c>
      <c r="Z140" s="51">
        <f t="shared" si="51"/>
        <v>0</v>
      </c>
      <c r="AA140" s="49" t="s">
        <v>527</v>
      </c>
      <c r="AB140" s="49"/>
      <c r="AC140" s="49"/>
    </row>
    <row r="141" spans="1:29" x14ac:dyDescent="0.3">
      <c r="A141" s="49">
        <v>32</v>
      </c>
      <c r="B141" s="49">
        <v>32</v>
      </c>
      <c r="C141" s="49">
        <v>4</v>
      </c>
      <c r="D141" s="49">
        <v>13</v>
      </c>
      <c r="E141" s="50">
        <v>2600</v>
      </c>
      <c r="F141" s="51">
        <f t="shared" si="47"/>
        <v>33800</v>
      </c>
      <c r="G141" s="49"/>
      <c r="H141" s="51">
        <f t="shared" si="48"/>
        <v>0</v>
      </c>
      <c r="I141" s="66">
        <v>5</v>
      </c>
      <c r="J141" s="51" t="s">
        <v>178</v>
      </c>
      <c r="K141" s="51"/>
      <c r="L141" s="51" t="s">
        <v>517</v>
      </c>
      <c r="M141" s="51" t="s">
        <v>518</v>
      </c>
      <c r="N141" s="52" t="s">
        <v>528</v>
      </c>
      <c r="O141" s="49">
        <v>13</v>
      </c>
      <c r="P141" s="70">
        <v>3900</v>
      </c>
      <c r="Q141" s="53">
        <f t="shared" si="39"/>
        <v>0.5</v>
      </c>
      <c r="R141" s="54">
        <f t="shared" si="49"/>
        <v>50700</v>
      </c>
      <c r="S141" s="49"/>
      <c r="T141" s="50">
        <v>4500</v>
      </c>
      <c r="U141" s="53">
        <f t="shared" si="42"/>
        <v>0.73076923076923073</v>
      </c>
      <c r="V141" s="51">
        <f t="shared" si="50"/>
        <v>0</v>
      </c>
      <c r="W141" s="49"/>
      <c r="X141" s="50">
        <v>5500</v>
      </c>
      <c r="Y141" s="53">
        <f t="shared" si="45"/>
        <v>1.1153846153846154</v>
      </c>
      <c r="Z141" s="51">
        <f t="shared" si="51"/>
        <v>0</v>
      </c>
      <c r="AA141" s="49" t="s">
        <v>527</v>
      </c>
      <c r="AB141" s="49"/>
      <c r="AC141" s="49"/>
    </row>
    <row r="142" spans="1:29" x14ac:dyDescent="0.3">
      <c r="A142" s="49">
        <v>33</v>
      </c>
      <c r="B142" s="49">
        <v>33</v>
      </c>
      <c r="C142" s="49">
        <v>4</v>
      </c>
      <c r="D142" s="49">
        <v>12</v>
      </c>
      <c r="E142" s="50">
        <v>2600</v>
      </c>
      <c r="F142" s="51">
        <f t="shared" si="47"/>
        <v>31200</v>
      </c>
      <c r="G142" s="49"/>
      <c r="H142" s="51">
        <f t="shared" si="48"/>
        <v>0</v>
      </c>
      <c r="I142" s="67">
        <v>6</v>
      </c>
      <c r="J142" s="51" t="s">
        <v>178</v>
      </c>
      <c r="K142" s="51"/>
      <c r="L142" s="51" t="s">
        <v>517</v>
      </c>
      <c r="M142" s="51" t="s">
        <v>518</v>
      </c>
      <c r="N142" s="52" t="s">
        <v>529</v>
      </c>
      <c r="O142" s="49">
        <v>12</v>
      </c>
      <c r="P142" s="70">
        <v>3900</v>
      </c>
      <c r="Q142" s="53">
        <f t="shared" si="39"/>
        <v>0.5</v>
      </c>
      <c r="R142" s="54">
        <f t="shared" si="49"/>
        <v>46800</v>
      </c>
      <c r="S142" s="49"/>
      <c r="T142" s="50">
        <v>4500</v>
      </c>
      <c r="U142" s="53">
        <f t="shared" si="42"/>
        <v>0.73076923076923073</v>
      </c>
      <c r="V142" s="51">
        <f t="shared" si="50"/>
        <v>0</v>
      </c>
      <c r="W142" s="49"/>
      <c r="X142" s="50">
        <v>5500</v>
      </c>
      <c r="Y142" s="53">
        <f t="shared" si="45"/>
        <v>1.1153846153846154</v>
      </c>
      <c r="Z142" s="51">
        <f t="shared" si="51"/>
        <v>0</v>
      </c>
      <c r="AA142" s="49" t="s">
        <v>527</v>
      </c>
      <c r="AB142" s="49"/>
      <c r="AC142" s="49"/>
    </row>
    <row r="143" spans="1:29" x14ac:dyDescent="0.3">
      <c r="A143" s="49">
        <v>34</v>
      </c>
      <c r="B143" s="49">
        <v>47</v>
      </c>
      <c r="C143" s="49">
        <v>4</v>
      </c>
      <c r="D143" s="49">
        <v>10</v>
      </c>
      <c r="E143" s="50">
        <v>5900</v>
      </c>
      <c r="F143" s="51">
        <f t="shared" si="47"/>
        <v>59000</v>
      </c>
      <c r="G143" s="49"/>
      <c r="H143" s="51">
        <f t="shared" si="48"/>
        <v>0</v>
      </c>
      <c r="I143" s="66">
        <v>7</v>
      </c>
      <c r="J143" s="51" t="s">
        <v>178</v>
      </c>
      <c r="K143" s="51"/>
      <c r="L143" s="51" t="s">
        <v>517</v>
      </c>
      <c r="M143" s="51" t="s">
        <v>518</v>
      </c>
      <c r="N143" s="52" t="s">
        <v>530</v>
      </c>
      <c r="O143" s="49">
        <v>10</v>
      </c>
      <c r="P143" s="70">
        <v>8900</v>
      </c>
      <c r="Q143" s="53">
        <f t="shared" si="39"/>
        <v>0.50847457627118642</v>
      </c>
      <c r="R143" s="54">
        <f t="shared" si="49"/>
        <v>89000</v>
      </c>
      <c r="S143" s="49"/>
      <c r="T143" s="50">
        <v>10500</v>
      </c>
      <c r="U143" s="53">
        <f t="shared" si="42"/>
        <v>0.77966101694915257</v>
      </c>
      <c r="V143" s="51">
        <f t="shared" si="50"/>
        <v>0</v>
      </c>
      <c r="W143" s="49"/>
      <c r="X143" s="50">
        <v>12500</v>
      </c>
      <c r="Y143" s="53">
        <f t="shared" si="45"/>
        <v>1.1186440677966101</v>
      </c>
      <c r="Z143" s="51">
        <f t="shared" si="51"/>
        <v>0</v>
      </c>
      <c r="AA143" s="49" t="s">
        <v>531</v>
      </c>
      <c r="AB143" s="49"/>
      <c r="AC143" s="49"/>
    </row>
    <row r="144" spans="1:29" x14ac:dyDescent="0.3">
      <c r="A144" s="10">
        <v>135</v>
      </c>
      <c r="B144" s="2"/>
      <c r="C144" s="2">
        <v>1</v>
      </c>
      <c r="D144" s="10"/>
      <c r="E144" s="40">
        <v>3500</v>
      </c>
      <c r="F144" s="11">
        <f t="shared" si="47"/>
        <v>0</v>
      </c>
      <c r="G144" s="10"/>
      <c r="H144" s="11">
        <f t="shared" si="48"/>
        <v>0</v>
      </c>
      <c r="I144" s="67">
        <v>8</v>
      </c>
      <c r="J144" s="10" t="s">
        <v>178</v>
      </c>
      <c r="K144" s="10"/>
      <c r="L144" s="10"/>
      <c r="M144" s="10"/>
      <c r="N144" s="12" t="s">
        <v>532</v>
      </c>
      <c r="O144" s="10"/>
      <c r="P144" s="58">
        <v>5600</v>
      </c>
      <c r="Q144" s="13">
        <f t="shared" si="39"/>
        <v>0.6</v>
      </c>
      <c r="R144" s="11">
        <f t="shared" si="49"/>
        <v>0</v>
      </c>
      <c r="S144" s="10"/>
      <c r="T144" s="58">
        <f>E144*1.8</f>
        <v>6300</v>
      </c>
      <c r="U144" s="13">
        <f t="shared" si="42"/>
        <v>0.8</v>
      </c>
      <c r="V144" s="11">
        <f t="shared" si="50"/>
        <v>0</v>
      </c>
      <c r="W144" s="10"/>
      <c r="X144" s="58">
        <f>E144*2.05</f>
        <v>7174.9999999999991</v>
      </c>
      <c r="Y144" s="13">
        <f t="shared" si="45"/>
        <v>1.0499999999999998</v>
      </c>
      <c r="Z144" s="11">
        <f t="shared" si="51"/>
        <v>0</v>
      </c>
      <c r="AA144" s="10" t="s">
        <v>533</v>
      </c>
      <c r="AB144" s="10" t="s">
        <v>534</v>
      </c>
      <c r="AC144" s="2" t="s">
        <v>535</v>
      </c>
    </row>
    <row r="145" spans="1:29" x14ac:dyDescent="0.3">
      <c r="A145" s="10">
        <v>136</v>
      </c>
      <c r="B145" s="2"/>
      <c r="C145" s="2">
        <v>1</v>
      </c>
      <c r="D145" s="10"/>
      <c r="E145" s="40">
        <v>5500</v>
      </c>
      <c r="F145" s="11">
        <f t="shared" si="47"/>
        <v>0</v>
      </c>
      <c r="G145" s="10"/>
      <c r="H145" s="11">
        <f t="shared" si="48"/>
        <v>0</v>
      </c>
      <c r="I145" s="66">
        <v>9</v>
      </c>
      <c r="J145" s="10" t="s">
        <v>178</v>
      </c>
      <c r="K145" s="10"/>
      <c r="L145" s="10"/>
      <c r="M145" s="10"/>
      <c r="N145" s="12" t="s">
        <v>536</v>
      </c>
      <c r="O145" s="10"/>
      <c r="P145" s="58">
        <v>8800</v>
      </c>
      <c r="Q145" s="13">
        <f t="shared" si="39"/>
        <v>0.6</v>
      </c>
      <c r="R145" s="11">
        <f t="shared" si="49"/>
        <v>0</v>
      </c>
      <c r="S145" s="10"/>
      <c r="T145" s="58">
        <f>E145*1.8</f>
        <v>9900</v>
      </c>
      <c r="U145" s="13">
        <f t="shared" si="42"/>
        <v>0.8</v>
      </c>
      <c r="V145" s="11">
        <f t="shared" si="50"/>
        <v>0</v>
      </c>
      <c r="W145" s="10"/>
      <c r="X145" s="58">
        <f>E145*2.05</f>
        <v>11274.999999999998</v>
      </c>
      <c r="Y145" s="13">
        <f t="shared" si="45"/>
        <v>1.0499999999999996</v>
      </c>
      <c r="Z145" s="11">
        <f t="shared" si="51"/>
        <v>0</v>
      </c>
      <c r="AA145" s="10" t="s">
        <v>537</v>
      </c>
      <c r="AB145" s="10" t="s">
        <v>538</v>
      </c>
      <c r="AC145" s="2"/>
    </row>
    <row r="146" spans="1:29" x14ac:dyDescent="0.3">
      <c r="A146" s="10">
        <v>141</v>
      </c>
      <c r="B146" s="2"/>
      <c r="C146" s="2">
        <v>1</v>
      </c>
      <c r="D146" s="10"/>
      <c r="E146" s="40">
        <v>3900</v>
      </c>
      <c r="F146" s="11">
        <f t="shared" si="47"/>
        <v>0</v>
      </c>
      <c r="G146" s="10"/>
      <c r="H146" s="11">
        <f t="shared" si="48"/>
        <v>0</v>
      </c>
      <c r="I146" s="67">
        <v>10</v>
      </c>
      <c r="J146" s="10" t="s">
        <v>178</v>
      </c>
      <c r="K146" s="10"/>
      <c r="L146" s="10"/>
      <c r="M146" s="10"/>
      <c r="N146" s="12" t="s">
        <v>539</v>
      </c>
      <c r="O146" s="10"/>
      <c r="P146" s="58">
        <v>6200</v>
      </c>
      <c r="Q146" s="13">
        <f t="shared" si="39"/>
        <v>0.58974358974358976</v>
      </c>
      <c r="R146" s="11">
        <f t="shared" si="49"/>
        <v>0</v>
      </c>
      <c r="S146" s="10"/>
      <c r="T146" s="58">
        <f>E146*1.8</f>
        <v>7020</v>
      </c>
      <c r="U146" s="13">
        <f t="shared" si="42"/>
        <v>0.8</v>
      </c>
      <c r="V146" s="11">
        <f t="shared" si="50"/>
        <v>0</v>
      </c>
      <c r="W146" s="10"/>
      <c r="X146" s="58">
        <f>E146*2.05</f>
        <v>7994.9999999999991</v>
      </c>
      <c r="Y146" s="13">
        <f t="shared" si="45"/>
        <v>1.0499999999999998</v>
      </c>
      <c r="Z146" s="11">
        <f t="shared" si="51"/>
        <v>0</v>
      </c>
      <c r="AA146" s="10" t="s">
        <v>540</v>
      </c>
      <c r="AB146" s="10" t="s">
        <v>541</v>
      </c>
      <c r="AC146" s="2" t="s">
        <v>535</v>
      </c>
    </row>
    <row r="147" spans="1:29" x14ac:dyDescent="0.3">
      <c r="A147" s="5">
        <v>26</v>
      </c>
      <c r="B147" s="5">
        <v>17</v>
      </c>
      <c r="C147" s="5">
        <v>3</v>
      </c>
      <c r="D147" s="5">
        <v>15</v>
      </c>
      <c r="E147" s="41">
        <v>3900</v>
      </c>
      <c r="F147" s="29">
        <f t="shared" si="47"/>
        <v>58500</v>
      </c>
      <c r="G147" s="5"/>
      <c r="H147" s="29">
        <f t="shared" si="48"/>
        <v>0</v>
      </c>
      <c r="I147" s="66">
        <v>11</v>
      </c>
      <c r="J147" s="5" t="s">
        <v>178</v>
      </c>
      <c r="K147" s="5"/>
      <c r="L147" s="5"/>
      <c r="M147" s="5" t="s">
        <v>518</v>
      </c>
      <c r="N147" s="6" t="s">
        <v>542</v>
      </c>
      <c r="O147" s="5">
        <v>15</v>
      </c>
      <c r="P147" s="72">
        <v>8500</v>
      </c>
      <c r="Q147" s="31">
        <f t="shared" si="39"/>
        <v>1.1794871794871795</v>
      </c>
      <c r="R147" s="32">
        <f t="shared" si="49"/>
        <v>127500</v>
      </c>
      <c r="S147" s="5"/>
      <c r="T147" s="41">
        <v>11000</v>
      </c>
      <c r="U147" s="33">
        <f t="shared" si="42"/>
        <v>1.8205128205128205</v>
      </c>
      <c r="V147" s="29">
        <f t="shared" si="50"/>
        <v>0</v>
      </c>
      <c r="W147" s="5"/>
      <c r="X147" s="41">
        <v>13000</v>
      </c>
      <c r="Y147" s="33">
        <f t="shared" si="45"/>
        <v>2.3333333333333335</v>
      </c>
      <c r="Z147" s="29">
        <f t="shared" si="51"/>
        <v>0</v>
      </c>
      <c r="AA147" s="5" t="s">
        <v>543</v>
      </c>
      <c r="AB147" s="5" t="s">
        <v>544</v>
      </c>
      <c r="AC147" s="5"/>
    </row>
    <row r="148" spans="1:29" x14ac:dyDescent="0.3">
      <c r="A148" s="5">
        <v>28</v>
      </c>
      <c r="B148" s="5">
        <v>34</v>
      </c>
      <c r="C148" s="5">
        <v>3</v>
      </c>
      <c r="D148" s="5">
        <v>1</v>
      </c>
      <c r="E148" s="41">
        <v>2800</v>
      </c>
      <c r="F148" s="29">
        <f t="shared" si="47"/>
        <v>2800</v>
      </c>
      <c r="G148" s="5"/>
      <c r="H148" s="29">
        <f t="shared" si="48"/>
        <v>0</v>
      </c>
      <c r="I148" s="67">
        <v>12</v>
      </c>
      <c r="J148" s="5" t="s">
        <v>178</v>
      </c>
      <c r="K148" s="5"/>
      <c r="L148" s="5"/>
      <c r="M148" s="5" t="s">
        <v>518</v>
      </c>
      <c r="N148" s="6" t="s">
        <v>545</v>
      </c>
      <c r="O148" s="5">
        <v>1</v>
      </c>
      <c r="P148" s="73">
        <v>5000</v>
      </c>
      <c r="Q148" s="31">
        <f t="shared" si="39"/>
        <v>0.7857142857142857</v>
      </c>
      <c r="R148" s="32">
        <f t="shared" si="49"/>
        <v>5000</v>
      </c>
      <c r="S148" s="5"/>
      <c r="T148" s="41">
        <v>7500</v>
      </c>
      <c r="U148" s="33">
        <f t="shared" si="42"/>
        <v>1.6785714285714286</v>
      </c>
      <c r="V148" s="29">
        <f t="shared" si="50"/>
        <v>0</v>
      </c>
      <c r="W148" s="5"/>
      <c r="X148" s="41">
        <v>7500</v>
      </c>
      <c r="Y148" s="33">
        <f t="shared" si="45"/>
        <v>1.6785714285714286</v>
      </c>
      <c r="Z148" s="29">
        <f t="shared" si="51"/>
        <v>0</v>
      </c>
      <c r="AA148" s="5" t="s">
        <v>546</v>
      </c>
      <c r="AB148" s="5" t="s">
        <v>547</v>
      </c>
      <c r="AC148" s="5" t="s">
        <v>548</v>
      </c>
    </row>
    <row r="149" spans="1:29" x14ac:dyDescent="0.3">
      <c r="A149" s="10">
        <v>140</v>
      </c>
      <c r="B149" s="2"/>
      <c r="C149" s="2">
        <v>1</v>
      </c>
      <c r="D149" s="10"/>
      <c r="E149" s="40">
        <v>15900</v>
      </c>
      <c r="F149" s="11">
        <f t="shared" si="47"/>
        <v>0</v>
      </c>
      <c r="G149" s="10"/>
      <c r="H149" s="11">
        <f t="shared" si="48"/>
        <v>0</v>
      </c>
      <c r="I149" s="66">
        <v>13</v>
      </c>
      <c r="J149" s="10" t="s">
        <v>178</v>
      </c>
      <c r="K149" s="10"/>
      <c r="L149" s="10"/>
      <c r="M149" s="10"/>
      <c r="N149" s="12" t="s">
        <v>549</v>
      </c>
      <c r="O149" s="10"/>
      <c r="P149" s="58">
        <v>25000</v>
      </c>
      <c r="Q149" s="13">
        <f t="shared" si="39"/>
        <v>0.57232704402515722</v>
      </c>
      <c r="R149" s="11">
        <f t="shared" si="49"/>
        <v>0</v>
      </c>
      <c r="S149" s="10"/>
      <c r="T149" s="58">
        <f>E149*1.8</f>
        <v>28620</v>
      </c>
      <c r="U149" s="13">
        <f t="shared" si="42"/>
        <v>0.8</v>
      </c>
      <c r="V149" s="11">
        <f t="shared" si="50"/>
        <v>0</v>
      </c>
      <c r="W149" s="10"/>
      <c r="X149" s="58">
        <f>E149*2.05</f>
        <v>32594.999999999996</v>
      </c>
      <c r="Y149" s="13">
        <f t="shared" si="45"/>
        <v>1.0499999999999998</v>
      </c>
      <c r="Z149" s="11">
        <f t="shared" si="51"/>
        <v>0</v>
      </c>
      <c r="AA149" s="10" t="s">
        <v>550</v>
      </c>
      <c r="AB149" s="10" t="s">
        <v>551</v>
      </c>
      <c r="AC149" s="2" t="s">
        <v>552</v>
      </c>
    </row>
    <row r="150" spans="1:29" x14ac:dyDescent="0.3">
      <c r="A150" s="5">
        <v>24</v>
      </c>
      <c r="B150" s="5">
        <v>40</v>
      </c>
      <c r="C150" s="5">
        <v>3</v>
      </c>
      <c r="D150" s="5">
        <v>2</v>
      </c>
      <c r="E150" s="41">
        <v>2300</v>
      </c>
      <c r="F150" s="29">
        <f t="shared" si="47"/>
        <v>4600</v>
      </c>
      <c r="G150" s="5"/>
      <c r="H150" s="29">
        <f t="shared" si="48"/>
        <v>0</v>
      </c>
      <c r="I150" s="67">
        <v>14</v>
      </c>
      <c r="J150" s="5" t="s">
        <v>178</v>
      </c>
      <c r="K150" s="5"/>
      <c r="L150" s="5"/>
      <c r="M150" s="5" t="s">
        <v>518</v>
      </c>
      <c r="N150" s="6" t="s">
        <v>553</v>
      </c>
      <c r="O150" s="5">
        <v>2</v>
      </c>
      <c r="P150" s="73">
        <v>3500</v>
      </c>
      <c r="Q150" s="31">
        <f t="shared" si="39"/>
        <v>0.52173913043478259</v>
      </c>
      <c r="R150" s="32">
        <f t="shared" si="49"/>
        <v>7000</v>
      </c>
      <c r="S150" s="5"/>
      <c r="T150" s="41">
        <v>3800</v>
      </c>
      <c r="U150" s="33">
        <f t="shared" si="42"/>
        <v>0.65217391304347827</v>
      </c>
      <c r="V150" s="29">
        <f t="shared" si="50"/>
        <v>0</v>
      </c>
      <c r="W150" s="5"/>
      <c r="X150" s="41">
        <v>4500</v>
      </c>
      <c r="Y150" s="33">
        <f t="shared" si="45"/>
        <v>0.95652173913043481</v>
      </c>
      <c r="Z150" s="29">
        <f t="shared" si="51"/>
        <v>0</v>
      </c>
      <c r="AA150" s="5" t="s">
        <v>554</v>
      </c>
      <c r="AB150" s="5" t="s">
        <v>555</v>
      </c>
      <c r="AC150" s="5" t="s">
        <v>556</v>
      </c>
    </row>
    <row r="151" spans="1:29" x14ac:dyDescent="0.3">
      <c r="A151" s="5">
        <v>23</v>
      </c>
      <c r="B151" s="5">
        <v>41</v>
      </c>
      <c r="C151" s="5">
        <v>3</v>
      </c>
      <c r="D151" s="5">
        <v>9</v>
      </c>
      <c r="E151" s="41">
        <v>2300</v>
      </c>
      <c r="F151" s="29">
        <f t="shared" si="47"/>
        <v>20700</v>
      </c>
      <c r="G151" s="5"/>
      <c r="H151" s="29">
        <f t="shared" si="48"/>
        <v>0</v>
      </c>
      <c r="I151" s="66">
        <v>15</v>
      </c>
      <c r="J151" s="5" t="s">
        <v>178</v>
      </c>
      <c r="K151" s="5"/>
      <c r="L151" s="5"/>
      <c r="M151" s="5" t="s">
        <v>518</v>
      </c>
      <c r="N151" s="6" t="s">
        <v>557</v>
      </c>
      <c r="O151" s="5">
        <v>9</v>
      </c>
      <c r="P151" s="73">
        <v>3500</v>
      </c>
      <c r="Q151" s="31">
        <f t="shared" si="39"/>
        <v>0.52173913043478259</v>
      </c>
      <c r="R151" s="32">
        <f t="shared" si="49"/>
        <v>31500</v>
      </c>
      <c r="S151" s="5"/>
      <c r="T151" s="41">
        <v>3800</v>
      </c>
      <c r="U151" s="33">
        <f t="shared" si="42"/>
        <v>0.65217391304347827</v>
      </c>
      <c r="V151" s="29">
        <f t="shared" si="50"/>
        <v>0</v>
      </c>
      <c r="W151" s="5"/>
      <c r="X151" s="41">
        <v>4500</v>
      </c>
      <c r="Y151" s="33">
        <f t="shared" si="45"/>
        <v>0.95652173913043481</v>
      </c>
      <c r="Z151" s="29">
        <f t="shared" si="51"/>
        <v>0</v>
      </c>
      <c r="AA151" s="5" t="s">
        <v>558</v>
      </c>
      <c r="AB151" s="5" t="s">
        <v>559</v>
      </c>
      <c r="AC151" s="5" t="s">
        <v>560</v>
      </c>
    </row>
    <row r="152" spans="1:29" x14ac:dyDescent="0.3">
      <c r="A152" s="5">
        <v>25</v>
      </c>
      <c r="B152" s="5">
        <v>43</v>
      </c>
      <c r="C152" s="5">
        <v>3</v>
      </c>
      <c r="D152" s="5">
        <v>15</v>
      </c>
      <c r="E152" s="41">
        <v>2300</v>
      </c>
      <c r="F152" s="29">
        <f t="shared" si="47"/>
        <v>34500</v>
      </c>
      <c r="G152" s="5"/>
      <c r="H152" s="29">
        <f t="shared" si="48"/>
        <v>0</v>
      </c>
      <c r="I152" s="67">
        <v>16</v>
      </c>
      <c r="J152" s="5" t="s">
        <v>178</v>
      </c>
      <c r="K152" s="5"/>
      <c r="L152" s="5"/>
      <c r="M152" s="5" t="s">
        <v>518</v>
      </c>
      <c r="N152" s="6" t="s">
        <v>561</v>
      </c>
      <c r="O152" s="5">
        <v>15</v>
      </c>
      <c r="P152" s="73">
        <v>3500</v>
      </c>
      <c r="Q152" s="31">
        <f t="shared" si="39"/>
        <v>0.52173913043478259</v>
      </c>
      <c r="R152" s="32">
        <f t="shared" si="49"/>
        <v>52500</v>
      </c>
      <c r="S152" s="5"/>
      <c r="T152" s="41">
        <v>3800</v>
      </c>
      <c r="U152" s="33">
        <f t="shared" si="42"/>
        <v>0.65217391304347827</v>
      </c>
      <c r="V152" s="29">
        <f t="shared" si="50"/>
        <v>0</v>
      </c>
      <c r="W152" s="5"/>
      <c r="X152" s="41">
        <v>4500</v>
      </c>
      <c r="Y152" s="33">
        <f t="shared" si="45"/>
        <v>0.95652173913043481</v>
      </c>
      <c r="Z152" s="29">
        <f t="shared" si="51"/>
        <v>0</v>
      </c>
      <c r="AA152" s="5" t="s">
        <v>562</v>
      </c>
      <c r="AB152" s="5" t="s">
        <v>563</v>
      </c>
      <c r="AC152" s="5"/>
    </row>
    <row r="153" spans="1:29" x14ac:dyDescent="0.3">
      <c r="A153" s="10">
        <v>138</v>
      </c>
      <c r="B153" s="2"/>
      <c r="C153" s="2">
        <v>1</v>
      </c>
      <c r="D153" s="10"/>
      <c r="E153" s="40">
        <v>9000</v>
      </c>
      <c r="F153" s="11">
        <f t="shared" si="47"/>
        <v>0</v>
      </c>
      <c r="G153" s="10"/>
      <c r="H153" s="11">
        <f t="shared" si="48"/>
        <v>0</v>
      </c>
      <c r="I153" s="66">
        <v>17</v>
      </c>
      <c r="J153" s="10" t="s">
        <v>178</v>
      </c>
      <c r="K153" s="10"/>
      <c r="L153" s="10"/>
      <c r="M153" s="10"/>
      <c r="N153" s="12" t="s">
        <v>564</v>
      </c>
      <c r="O153" s="10"/>
      <c r="P153" s="58">
        <v>14400</v>
      </c>
      <c r="Q153" s="13">
        <f t="shared" si="39"/>
        <v>0.6</v>
      </c>
      <c r="R153" s="11">
        <f t="shared" si="49"/>
        <v>0</v>
      </c>
      <c r="S153" s="10"/>
      <c r="T153" s="58">
        <f>E153*1.8</f>
        <v>16200</v>
      </c>
      <c r="U153" s="13">
        <f t="shared" si="42"/>
        <v>0.8</v>
      </c>
      <c r="V153" s="11">
        <f t="shared" si="50"/>
        <v>0</v>
      </c>
      <c r="W153" s="10"/>
      <c r="X153" s="58">
        <f>E153*2.05</f>
        <v>18450</v>
      </c>
      <c r="Y153" s="13">
        <f t="shared" si="45"/>
        <v>1.05</v>
      </c>
      <c r="Z153" s="11">
        <f t="shared" si="51"/>
        <v>0</v>
      </c>
      <c r="AA153" s="10" t="s">
        <v>565</v>
      </c>
      <c r="AB153" s="10" t="s">
        <v>566</v>
      </c>
      <c r="AC153" s="2" t="s">
        <v>567</v>
      </c>
    </row>
    <row r="154" spans="1:29" x14ac:dyDescent="0.3">
      <c r="A154" s="10">
        <v>139</v>
      </c>
      <c r="B154" s="2"/>
      <c r="C154" s="2">
        <v>1</v>
      </c>
      <c r="D154" s="10"/>
      <c r="E154" s="40">
        <v>2488</v>
      </c>
      <c r="F154" s="11">
        <f t="shared" si="47"/>
        <v>0</v>
      </c>
      <c r="G154" s="10"/>
      <c r="H154" s="11">
        <f t="shared" si="48"/>
        <v>0</v>
      </c>
      <c r="I154" s="67">
        <v>18</v>
      </c>
      <c r="J154" s="10" t="s">
        <v>178</v>
      </c>
      <c r="K154" s="10"/>
      <c r="L154" s="10"/>
      <c r="M154" s="10"/>
      <c r="N154" s="12" t="s">
        <v>568</v>
      </c>
      <c r="O154" s="10"/>
      <c r="P154" s="58">
        <v>4000</v>
      </c>
      <c r="Q154" s="13">
        <f t="shared" si="39"/>
        <v>0.60771704180064312</v>
      </c>
      <c r="R154" s="11">
        <f t="shared" si="49"/>
        <v>0</v>
      </c>
      <c r="S154" s="10"/>
      <c r="T154" s="58">
        <f>E154*1.8</f>
        <v>4478.4000000000005</v>
      </c>
      <c r="U154" s="13">
        <f t="shared" si="42"/>
        <v>0.80000000000000027</v>
      </c>
      <c r="V154" s="11">
        <f t="shared" si="50"/>
        <v>0</v>
      </c>
      <c r="W154" s="10"/>
      <c r="X154" s="58">
        <f>E154*2.05</f>
        <v>5100.3999999999996</v>
      </c>
      <c r="Y154" s="13">
        <f t="shared" si="45"/>
        <v>1.0499999999999998</v>
      </c>
      <c r="Z154" s="11">
        <f t="shared" si="51"/>
        <v>0</v>
      </c>
      <c r="AA154" s="10" t="s">
        <v>569</v>
      </c>
      <c r="AB154" s="10" t="s">
        <v>570</v>
      </c>
      <c r="AC154" s="2" t="s">
        <v>571</v>
      </c>
    </row>
    <row r="155" spans="1:29" x14ac:dyDescent="0.3">
      <c r="A155" s="5">
        <v>19</v>
      </c>
      <c r="B155" s="5">
        <v>22</v>
      </c>
      <c r="C155" s="5">
        <v>3</v>
      </c>
      <c r="D155" s="5">
        <v>2</v>
      </c>
      <c r="E155" s="41">
        <v>950</v>
      </c>
      <c r="F155" s="29">
        <f t="shared" si="47"/>
        <v>1900</v>
      </c>
      <c r="G155" s="5"/>
      <c r="H155" s="29">
        <f t="shared" si="48"/>
        <v>0</v>
      </c>
      <c r="I155" s="66">
        <v>19</v>
      </c>
      <c r="J155" s="5" t="s">
        <v>159</v>
      </c>
      <c r="K155" s="5"/>
      <c r="L155" s="5"/>
      <c r="M155" s="5"/>
      <c r="N155" s="6" t="s">
        <v>576</v>
      </c>
      <c r="O155" s="5">
        <v>2</v>
      </c>
      <c r="P155" s="41">
        <v>1500</v>
      </c>
      <c r="Q155" s="33">
        <f t="shared" si="39"/>
        <v>0.57894736842105265</v>
      </c>
      <c r="R155" s="32">
        <f t="shared" si="49"/>
        <v>3000</v>
      </c>
      <c r="S155" s="5"/>
      <c r="T155" s="41">
        <v>1700</v>
      </c>
      <c r="U155" s="33">
        <f t="shared" si="42"/>
        <v>0.78947368421052633</v>
      </c>
      <c r="V155" s="29">
        <f t="shared" si="50"/>
        <v>0</v>
      </c>
      <c r="W155" s="5"/>
      <c r="X155" s="41">
        <v>1900</v>
      </c>
      <c r="Y155" s="33">
        <f t="shared" si="45"/>
        <v>1</v>
      </c>
      <c r="Z155" s="29">
        <f t="shared" si="51"/>
        <v>0</v>
      </c>
      <c r="AA155" s="5" t="s">
        <v>577</v>
      </c>
      <c r="AB155" s="5" t="s">
        <v>578</v>
      </c>
      <c r="AC155" s="5" t="s">
        <v>579</v>
      </c>
    </row>
    <row r="156" spans="1:29" x14ac:dyDescent="0.3">
      <c r="A156" s="5">
        <v>27</v>
      </c>
      <c r="B156" s="5">
        <v>23</v>
      </c>
      <c r="C156" s="5">
        <v>3</v>
      </c>
      <c r="D156" s="5">
        <v>16</v>
      </c>
      <c r="E156" s="41">
        <v>950</v>
      </c>
      <c r="F156" s="29">
        <f t="shared" si="47"/>
        <v>15200</v>
      </c>
      <c r="G156" s="5"/>
      <c r="H156" s="29">
        <f t="shared" si="48"/>
        <v>0</v>
      </c>
      <c r="I156" s="67">
        <v>20</v>
      </c>
      <c r="J156" s="5" t="s">
        <v>159</v>
      </c>
      <c r="K156" s="5"/>
      <c r="L156" s="5"/>
      <c r="M156" s="5"/>
      <c r="N156" s="6" t="s">
        <v>580</v>
      </c>
      <c r="O156" s="5">
        <v>16</v>
      </c>
      <c r="P156" s="41">
        <v>1500</v>
      </c>
      <c r="Q156" s="33">
        <f t="shared" si="39"/>
        <v>0.57894736842105265</v>
      </c>
      <c r="R156" s="32">
        <f t="shared" si="49"/>
        <v>24000</v>
      </c>
      <c r="S156" s="5"/>
      <c r="T156" s="41">
        <v>1700</v>
      </c>
      <c r="U156" s="33">
        <f t="shared" si="42"/>
        <v>0.78947368421052633</v>
      </c>
      <c r="V156" s="29">
        <f t="shared" si="50"/>
        <v>0</v>
      </c>
      <c r="W156" s="5"/>
      <c r="X156" s="41">
        <v>1900</v>
      </c>
      <c r="Y156" s="33">
        <f t="shared" si="45"/>
        <v>1</v>
      </c>
      <c r="Z156" s="29">
        <f t="shared" si="51"/>
        <v>0</v>
      </c>
      <c r="AA156" s="5" t="s">
        <v>581</v>
      </c>
      <c r="AB156" s="5" t="s">
        <v>582</v>
      </c>
      <c r="AC156" s="5" t="s">
        <v>579</v>
      </c>
    </row>
    <row r="157" spans="1:29" x14ac:dyDescent="0.3">
      <c r="A157" s="5">
        <v>20</v>
      </c>
      <c r="B157" s="5">
        <v>21</v>
      </c>
      <c r="C157" s="5">
        <v>3</v>
      </c>
      <c r="D157" s="5">
        <v>27</v>
      </c>
      <c r="E157" s="41">
        <v>950</v>
      </c>
      <c r="F157" s="29">
        <f t="shared" si="47"/>
        <v>25650</v>
      </c>
      <c r="G157" s="5"/>
      <c r="H157" s="29">
        <f t="shared" si="48"/>
        <v>0</v>
      </c>
      <c r="I157" s="66">
        <v>21</v>
      </c>
      <c r="J157" s="5" t="s">
        <v>159</v>
      </c>
      <c r="K157" s="5"/>
      <c r="L157" s="5"/>
      <c r="M157" s="5"/>
      <c r="N157" s="6" t="s">
        <v>583</v>
      </c>
      <c r="O157" s="5">
        <v>27</v>
      </c>
      <c r="P157" s="41">
        <v>1500</v>
      </c>
      <c r="Q157" s="33">
        <f t="shared" si="39"/>
        <v>0.57894736842105265</v>
      </c>
      <c r="R157" s="32">
        <f t="shared" si="49"/>
        <v>40500</v>
      </c>
      <c r="S157" s="5"/>
      <c r="T157" s="41">
        <v>1700</v>
      </c>
      <c r="U157" s="33">
        <f t="shared" si="42"/>
        <v>0.78947368421052633</v>
      </c>
      <c r="V157" s="29">
        <f t="shared" si="50"/>
        <v>0</v>
      </c>
      <c r="W157" s="5"/>
      <c r="X157" s="41">
        <v>1900</v>
      </c>
      <c r="Y157" s="33">
        <f t="shared" si="45"/>
        <v>1</v>
      </c>
      <c r="Z157" s="29">
        <f t="shared" si="51"/>
        <v>0</v>
      </c>
      <c r="AA157" s="5" t="s">
        <v>584</v>
      </c>
      <c r="AB157" s="5" t="s">
        <v>585</v>
      </c>
      <c r="AC157" s="5" t="s">
        <v>579</v>
      </c>
    </row>
    <row r="158" spans="1:29" x14ac:dyDescent="0.3">
      <c r="A158" s="10">
        <v>132</v>
      </c>
      <c r="B158" s="2"/>
      <c r="C158" s="2">
        <v>1</v>
      </c>
      <c r="D158" s="10"/>
      <c r="E158" s="40">
        <v>950</v>
      </c>
      <c r="F158" s="11">
        <f t="shared" si="47"/>
        <v>0</v>
      </c>
      <c r="G158" s="10"/>
      <c r="H158" s="11">
        <f t="shared" si="48"/>
        <v>0</v>
      </c>
      <c r="I158" s="67">
        <v>22</v>
      </c>
      <c r="J158" s="10" t="s">
        <v>159</v>
      </c>
      <c r="K158" s="10"/>
      <c r="L158" s="10"/>
      <c r="M158" s="10"/>
      <c r="N158" s="12" t="s">
        <v>572</v>
      </c>
      <c r="O158" s="10"/>
      <c r="P158" s="58">
        <v>1500</v>
      </c>
      <c r="Q158" s="13">
        <f t="shared" si="39"/>
        <v>0.57894736842105265</v>
      </c>
      <c r="R158" s="11">
        <f t="shared" si="49"/>
        <v>0</v>
      </c>
      <c r="S158" s="10"/>
      <c r="T158" s="58">
        <f>E158*1.8</f>
        <v>1710</v>
      </c>
      <c r="U158" s="13">
        <f t="shared" si="42"/>
        <v>0.8</v>
      </c>
      <c r="V158" s="11">
        <f t="shared" si="50"/>
        <v>0</v>
      </c>
      <c r="W158" s="10"/>
      <c r="X158" s="58">
        <f>E158*2.05</f>
        <v>1947.4999999999998</v>
      </c>
      <c r="Y158" s="13">
        <f t="shared" si="45"/>
        <v>1.0499999999999998</v>
      </c>
      <c r="Z158" s="11">
        <f t="shared" si="51"/>
        <v>0</v>
      </c>
      <c r="AA158" s="10" t="s">
        <v>573</v>
      </c>
      <c r="AB158" s="10" t="s">
        <v>574</v>
      </c>
      <c r="AC158" s="2" t="s">
        <v>575</v>
      </c>
    </row>
    <row r="159" spans="1:29" x14ac:dyDescent="0.3">
      <c r="A159" s="5">
        <v>18</v>
      </c>
      <c r="B159" s="5">
        <v>25</v>
      </c>
      <c r="C159" s="5">
        <v>3</v>
      </c>
      <c r="D159" s="5">
        <v>2</v>
      </c>
      <c r="E159" s="41">
        <v>1950</v>
      </c>
      <c r="F159" s="29">
        <f t="shared" si="47"/>
        <v>3900</v>
      </c>
      <c r="G159" s="5"/>
      <c r="H159" s="29">
        <f t="shared" si="48"/>
        <v>0</v>
      </c>
      <c r="I159" s="66">
        <v>23</v>
      </c>
      <c r="J159" s="5" t="s">
        <v>159</v>
      </c>
      <c r="K159" s="5"/>
      <c r="L159" s="5"/>
      <c r="M159" s="5"/>
      <c r="N159" s="6" t="s">
        <v>586</v>
      </c>
      <c r="O159" s="5">
        <v>2</v>
      </c>
      <c r="P159" s="41">
        <v>3000</v>
      </c>
      <c r="Q159" s="33">
        <f t="shared" si="39"/>
        <v>0.53846153846153844</v>
      </c>
      <c r="R159" s="32">
        <f t="shared" si="49"/>
        <v>6000</v>
      </c>
      <c r="S159" s="5"/>
      <c r="T159" s="41">
        <v>3500</v>
      </c>
      <c r="U159" s="33">
        <f t="shared" si="42"/>
        <v>0.79487179487179482</v>
      </c>
      <c r="V159" s="29">
        <f t="shared" si="50"/>
        <v>0</v>
      </c>
      <c r="W159" s="5"/>
      <c r="X159" s="41">
        <v>4000</v>
      </c>
      <c r="Y159" s="33">
        <f t="shared" si="45"/>
        <v>1.0512820512820513</v>
      </c>
      <c r="Z159" s="29">
        <f t="shared" si="51"/>
        <v>0</v>
      </c>
      <c r="AA159" s="5" t="s">
        <v>587</v>
      </c>
      <c r="AB159" s="5" t="s">
        <v>588</v>
      </c>
      <c r="AC159" s="5" t="s">
        <v>589</v>
      </c>
    </row>
    <row r="160" spans="1:29" x14ac:dyDescent="0.3">
      <c r="A160" s="5">
        <v>21</v>
      </c>
      <c r="B160" s="5">
        <v>87</v>
      </c>
      <c r="C160" s="5">
        <v>3</v>
      </c>
      <c r="D160" s="5">
        <v>10</v>
      </c>
      <c r="E160" s="41">
        <v>1962</v>
      </c>
      <c r="F160" s="29">
        <f t="shared" si="47"/>
        <v>19620</v>
      </c>
      <c r="G160" s="5"/>
      <c r="H160" s="29">
        <f t="shared" si="48"/>
        <v>0</v>
      </c>
      <c r="I160" s="67">
        <v>24</v>
      </c>
      <c r="J160" s="5" t="s">
        <v>159</v>
      </c>
      <c r="K160" s="5"/>
      <c r="L160" s="5"/>
      <c r="M160" s="5"/>
      <c r="N160" s="6" t="s">
        <v>590</v>
      </c>
      <c r="O160" s="5">
        <v>10</v>
      </c>
      <c r="P160" s="59">
        <v>3500</v>
      </c>
      <c r="Q160" s="31">
        <f t="shared" si="39"/>
        <v>0.78389398572884816</v>
      </c>
      <c r="R160" s="29">
        <f t="shared" si="49"/>
        <v>35000</v>
      </c>
      <c r="S160" s="5"/>
      <c r="T160" s="41">
        <v>4000</v>
      </c>
      <c r="U160" s="33">
        <f t="shared" si="42"/>
        <v>1.0387359836901122</v>
      </c>
      <c r="V160" s="29">
        <f t="shared" si="50"/>
        <v>0</v>
      </c>
      <c r="W160" s="5"/>
      <c r="X160" s="41">
        <v>4500</v>
      </c>
      <c r="Y160" s="33">
        <f t="shared" si="45"/>
        <v>1.2935779816513762</v>
      </c>
      <c r="Z160" s="29">
        <f t="shared" si="51"/>
        <v>0</v>
      </c>
      <c r="AA160" s="5" t="s">
        <v>591</v>
      </c>
      <c r="AB160" s="5" t="s">
        <v>592</v>
      </c>
      <c r="AC160" s="5" t="s">
        <v>593</v>
      </c>
    </row>
    <row r="161" spans="1:29" x14ac:dyDescent="0.3">
      <c r="A161" s="5">
        <v>17</v>
      </c>
      <c r="B161" s="5">
        <v>26</v>
      </c>
      <c r="C161" s="5">
        <v>3</v>
      </c>
      <c r="D161" s="5">
        <v>12</v>
      </c>
      <c r="E161" s="41">
        <v>1900</v>
      </c>
      <c r="F161" s="29">
        <f t="shared" si="47"/>
        <v>22800</v>
      </c>
      <c r="G161" s="5"/>
      <c r="H161" s="29">
        <f t="shared" si="48"/>
        <v>0</v>
      </c>
      <c r="I161" s="66">
        <v>25</v>
      </c>
      <c r="J161" s="5" t="s">
        <v>159</v>
      </c>
      <c r="K161" s="5"/>
      <c r="L161" s="5"/>
      <c r="M161" s="5"/>
      <c r="N161" s="6" t="s">
        <v>594</v>
      </c>
      <c r="O161" s="5">
        <v>12</v>
      </c>
      <c r="P161" s="59">
        <v>3000</v>
      </c>
      <c r="Q161" s="33">
        <f t="shared" si="39"/>
        <v>0.57894736842105265</v>
      </c>
      <c r="R161" s="32">
        <f t="shared" si="49"/>
        <v>36000</v>
      </c>
      <c r="S161" s="5"/>
      <c r="T161" s="41">
        <v>3500</v>
      </c>
      <c r="U161" s="33">
        <f t="shared" si="42"/>
        <v>0.84210526315789469</v>
      </c>
      <c r="V161" s="29">
        <f t="shared" si="50"/>
        <v>0</v>
      </c>
      <c r="W161" s="5"/>
      <c r="X161" s="41">
        <v>4000</v>
      </c>
      <c r="Y161" s="33">
        <f t="shared" si="45"/>
        <v>1.1052631578947369</v>
      </c>
      <c r="Z161" s="29">
        <f t="shared" si="51"/>
        <v>0</v>
      </c>
      <c r="AA161" s="5" t="s">
        <v>595</v>
      </c>
      <c r="AB161" s="5" t="s">
        <v>596</v>
      </c>
      <c r="AC161" s="5" t="s">
        <v>597</v>
      </c>
    </row>
    <row r="162" spans="1:29" x14ac:dyDescent="0.3">
      <c r="A162" s="5">
        <v>16</v>
      </c>
      <c r="B162" s="5">
        <v>27</v>
      </c>
      <c r="C162" s="5">
        <v>3</v>
      </c>
      <c r="D162" s="5">
        <v>7</v>
      </c>
      <c r="E162" s="41">
        <v>1900</v>
      </c>
      <c r="F162" s="29">
        <f t="shared" si="47"/>
        <v>13300</v>
      </c>
      <c r="G162" s="5"/>
      <c r="H162" s="29">
        <f t="shared" si="48"/>
        <v>0</v>
      </c>
      <c r="I162" s="67">
        <v>26</v>
      </c>
      <c r="J162" s="5" t="s">
        <v>159</v>
      </c>
      <c r="K162" s="5"/>
      <c r="L162" s="5"/>
      <c r="M162" s="5"/>
      <c r="N162" s="6" t="s">
        <v>598</v>
      </c>
      <c r="O162" s="5">
        <v>7</v>
      </c>
      <c r="P162" s="59">
        <v>3000</v>
      </c>
      <c r="Q162" s="33">
        <f t="shared" si="39"/>
        <v>0.57894736842105265</v>
      </c>
      <c r="R162" s="32">
        <f t="shared" si="49"/>
        <v>21000</v>
      </c>
      <c r="S162" s="5"/>
      <c r="T162" s="41">
        <v>3500</v>
      </c>
      <c r="U162" s="33">
        <f t="shared" ref="U162:U193" si="52">(T162-E162)/E162</f>
        <v>0.84210526315789469</v>
      </c>
      <c r="V162" s="29">
        <f t="shared" si="50"/>
        <v>0</v>
      </c>
      <c r="W162" s="5"/>
      <c r="X162" s="41">
        <v>4000</v>
      </c>
      <c r="Y162" s="33">
        <f t="shared" ref="Y162:Y193" si="53">(X162-E162)/E162</f>
        <v>1.1052631578947369</v>
      </c>
      <c r="Z162" s="29">
        <f t="shared" si="51"/>
        <v>0</v>
      </c>
      <c r="AA162" s="5" t="s">
        <v>599</v>
      </c>
      <c r="AB162" s="5" t="s">
        <v>600</v>
      </c>
      <c r="AC162" s="5" t="s">
        <v>601</v>
      </c>
    </row>
    <row r="163" spans="1:29" x14ac:dyDescent="0.3">
      <c r="A163" s="10">
        <v>130</v>
      </c>
      <c r="B163" s="2"/>
      <c r="C163" s="2">
        <v>1</v>
      </c>
      <c r="D163" s="10"/>
      <c r="E163" s="40">
        <v>2900</v>
      </c>
      <c r="F163" s="11">
        <f t="shared" si="47"/>
        <v>0</v>
      </c>
      <c r="G163" s="10"/>
      <c r="H163" s="11">
        <f t="shared" si="48"/>
        <v>0</v>
      </c>
      <c r="I163" s="66">
        <v>27</v>
      </c>
      <c r="J163" s="10" t="s">
        <v>159</v>
      </c>
      <c r="K163" s="10"/>
      <c r="L163" s="10"/>
      <c r="M163" s="10"/>
      <c r="N163" s="12" t="s">
        <v>602</v>
      </c>
      <c r="O163" s="10"/>
      <c r="P163" s="58">
        <v>4600</v>
      </c>
      <c r="Q163" s="13">
        <f t="shared" si="39"/>
        <v>0.58620689655172409</v>
      </c>
      <c r="R163" s="11">
        <f t="shared" si="49"/>
        <v>0</v>
      </c>
      <c r="S163" s="10"/>
      <c r="T163" s="58">
        <f>E163*1.8</f>
        <v>5220</v>
      </c>
      <c r="U163" s="13">
        <f t="shared" si="52"/>
        <v>0.8</v>
      </c>
      <c r="V163" s="11">
        <f t="shared" si="50"/>
        <v>0</v>
      </c>
      <c r="W163" s="10"/>
      <c r="X163" s="58">
        <f>E163*2.05</f>
        <v>5944.9999999999991</v>
      </c>
      <c r="Y163" s="13">
        <f t="shared" si="53"/>
        <v>1.0499999999999996</v>
      </c>
      <c r="Z163" s="11">
        <f t="shared" si="51"/>
        <v>0</v>
      </c>
      <c r="AA163" s="10" t="s">
        <v>603</v>
      </c>
      <c r="AB163" s="10" t="s">
        <v>604</v>
      </c>
      <c r="AC163" s="2"/>
    </row>
    <row r="164" spans="1:29" x14ac:dyDescent="0.3">
      <c r="A164" s="10">
        <v>131</v>
      </c>
      <c r="B164" s="2"/>
      <c r="C164" s="2">
        <v>1</v>
      </c>
      <c r="D164" s="10"/>
      <c r="E164" s="40">
        <v>1700</v>
      </c>
      <c r="F164" s="11">
        <f t="shared" si="47"/>
        <v>0</v>
      </c>
      <c r="G164" s="10"/>
      <c r="H164" s="11">
        <f t="shared" si="48"/>
        <v>0</v>
      </c>
      <c r="I164" s="67">
        <v>28</v>
      </c>
      <c r="J164" s="10" t="s">
        <v>159</v>
      </c>
      <c r="K164" s="10"/>
      <c r="L164" s="10"/>
      <c r="M164" s="10"/>
      <c r="N164" s="12" t="s">
        <v>605</v>
      </c>
      <c r="O164" s="10"/>
      <c r="P164" s="58">
        <v>2700</v>
      </c>
      <c r="Q164" s="13">
        <f t="shared" si="39"/>
        <v>0.58823529411764708</v>
      </c>
      <c r="R164" s="11">
        <f t="shared" si="49"/>
        <v>0</v>
      </c>
      <c r="S164" s="10"/>
      <c r="T164" s="58">
        <f>E164*1.8</f>
        <v>3060</v>
      </c>
      <c r="U164" s="13">
        <f t="shared" si="52"/>
        <v>0.8</v>
      </c>
      <c r="V164" s="11">
        <f t="shared" si="50"/>
        <v>0</v>
      </c>
      <c r="W164" s="10"/>
      <c r="X164" s="58">
        <f>E164*2.05</f>
        <v>3484.9999999999995</v>
      </c>
      <c r="Y164" s="13">
        <f t="shared" si="53"/>
        <v>1.0499999999999998</v>
      </c>
      <c r="Z164" s="11">
        <f t="shared" si="51"/>
        <v>0</v>
      </c>
      <c r="AA164" s="10" t="s">
        <v>606</v>
      </c>
      <c r="AB164" s="10" t="s">
        <v>607</v>
      </c>
      <c r="AC164" s="2" t="s">
        <v>608</v>
      </c>
    </row>
    <row r="165" spans="1:29" x14ac:dyDescent="0.3">
      <c r="A165" s="49">
        <v>22</v>
      </c>
      <c r="B165" s="49">
        <v>19</v>
      </c>
      <c r="C165" s="49">
        <v>4</v>
      </c>
      <c r="D165" s="49">
        <v>14</v>
      </c>
      <c r="E165" s="50">
        <v>470</v>
      </c>
      <c r="F165" s="51">
        <f t="shared" si="47"/>
        <v>6580</v>
      </c>
      <c r="G165" s="49"/>
      <c r="H165" s="51">
        <f t="shared" si="48"/>
        <v>0</v>
      </c>
      <c r="I165" s="66">
        <v>29</v>
      </c>
      <c r="J165" s="51" t="s">
        <v>159</v>
      </c>
      <c r="K165" s="51"/>
      <c r="L165" s="51" t="s">
        <v>517</v>
      </c>
      <c r="M165" s="51" t="s">
        <v>518</v>
      </c>
      <c r="N165" s="52" t="s">
        <v>609</v>
      </c>
      <c r="O165" s="49">
        <v>14</v>
      </c>
      <c r="P165" s="70">
        <v>1000</v>
      </c>
      <c r="Q165" s="55">
        <f t="shared" si="39"/>
        <v>1.1276595744680851</v>
      </c>
      <c r="R165" s="54">
        <f t="shared" si="49"/>
        <v>14000</v>
      </c>
      <c r="S165" s="49"/>
      <c r="T165" s="50">
        <v>1250</v>
      </c>
      <c r="U165" s="53">
        <f t="shared" si="52"/>
        <v>1.6595744680851063</v>
      </c>
      <c r="V165" s="51">
        <f t="shared" si="50"/>
        <v>0</v>
      </c>
      <c r="W165" s="49"/>
      <c r="X165" s="50">
        <v>1500</v>
      </c>
      <c r="Y165" s="53">
        <f t="shared" si="53"/>
        <v>2.1914893617021276</v>
      </c>
      <c r="Z165" s="51">
        <f t="shared" si="51"/>
        <v>0</v>
      </c>
      <c r="AA165" s="49" t="s">
        <v>610</v>
      </c>
      <c r="AB165" s="49"/>
      <c r="AC165" s="49"/>
    </row>
    <row r="166" spans="1:29" x14ac:dyDescent="0.3">
      <c r="A166" s="5">
        <v>2</v>
      </c>
      <c r="B166" s="5">
        <v>80</v>
      </c>
      <c r="C166" s="5">
        <v>3</v>
      </c>
      <c r="D166" s="5">
        <v>17</v>
      </c>
      <c r="E166" s="41">
        <v>1850</v>
      </c>
      <c r="F166" s="29">
        <f t="shared" si="47"/>
        <v>31450</v>
      </c>
      <c r="G166" s="5"/>
      <c r="H166" s="29">
        <f t="shared" si="48"/>
        <v>0</v>
      </c>
      <c r="I166" s="67">
        <v>30</v>
      </c>
      <c r="J166" s="5" t="s">
        <v>19</v>
      </c>
      <c r="K166" s="5"/>
      <c r="L166" s="5"/>
      <c r="M166" s="5"/>
      <c r="N166" s="6" t="s">
        <v>611</v>
      </c>
      <c r="O166" s="5">
        <v>17</v>
      </c>
      <c r="P166" s="59">
        <v>3000</v>
      </c>
      <c r="Q166" s="33">
        <f t="shared" si="39"/>
        <v>0.6216216216216216</v>
      </c>
      <c r="R166" s="32">
        <f t="shared" si="49"/>
        <v>51000</v>
      </c>
      <c r="S166" s="5"/>
      <c r="T166" s="41">
        <v>3100</v>
      </c>
      <c r="U166" s="33">
        <f t="shared" si="52"/>
        <v>0.67567567567567566</v>
      </c>
      <c r="V166" s="29">
        <f t="shared" si="50"/>
        <v>0</v>
      </c>
      <c r="W166" s="5"/>
      <c r="X166" s="41">
        <v>3600</v>
      </c>
      <c r="Y166" s="33">
        <f t="shared" si="53"/>
        <v>0.94594594594594594</v>
      </c>
      <c r="Z166" s="29">
        <f t="shared" si="51"/>
        <v>0</v>
      </c>
      <c r="AA166" s="5" t="s">
        <v>612</v>
      </c>
      <c r="AB166" s="5" t="s">
        <v>613</v>
      </c>
      <c r="AC166" s="5" t="s">
        <v>614</v>
      </c>
    </row>
    <row r="167" spans="1:29" x14ac:dyDescent="0.3">
      <c r="A167" s="10">
        <v>80</v>
      </c>
      <c r="B167" s="10"/>
      <c r="C167" s="10">
        <v>1</v>
      </c>
      <c r="D167" s="10"/>
      <c r="E167" s="40">
        <v>2697</v>
      </c>
      <c r="F167" s="11">
        <f t="shared" si="47"/>
        <v>0</v>
      </c>
      <c r="G167" s="10"/>
      <c r="H167" s="11">
        <f t="shared" si="48"/>
        <v>0</v>
      </c>
      <c r="I167" s="66">
        <v>31</v>
      </c>
      <c r="J167" s="10" t="s">
        <v>19</v>
      </c>
      <c r="K167" s="10"/>
      <c r="L167" s="10"/>
      <c r="M167" s="10"/>
      <c r="N167" s="12" t="s">
        <v>615</v>
      </c>
      <c r="O167" s="10"/>
      <c r="P167" s="58">
        <v>4300</v>
      </c>
      <c r="Q167" s="13">
        <f t="shared" si="39"/>
        <v>0.59436410826844643</v>
      </c>
      <c r="R167" s="11">
        <f t="shared" si="49"/>
        <v>0</v>
      </c>
      <c r="S167" s="10"/>
      <c r="T167" s="58">
        <f>E167*1.8</f>
        <v>4854.6000000000004</v>
      </c>
      <c r="U167" s="13">
        <f t="shared" si="52"/>
        <v>0.80000000000000016</v>
      </c>
      <c r="V167" s="11">
        <f t="shared" si="50"/>
        <v>0</v>
      </c>
      <c r="W167" s="10"/>
      <c r="X167" s="58">
        <f>E167*2.05</f>
        <v>5528.8499999999995</v>
      </c>
      <c r="Y167" s="13">
        <f t="shared" si="53"/>
        <v>1.0499999999999998</v>
      </c>
      <c r="Z167" s="11">
        <f t="shared" si="51"/>
        <v>0</v>
      </c>
      <c r="AA167" s="10" t="s">
        <v>616</v>
      </c>
      <c r="AB167" s="10" t="s">
        <v>617</v>
      </c>
      <c r="AC167" s="10" t="s">
        <v>618</v>
      </c>
    </row>
    <row r="168" spans="1:29" x14ac:dyDescent="0.3">
      <c r="A168" s="10">
        <v>133</v>
      </c>
      <c r="B168" s="2"/>
      <c r="C168" s="2">
        <v>1</v>
      </c>
      <c r="D168" s="10"/>
      <c r="E168" s="40">
        <v>930</v>
      </c>
      <c r="F168" s="11">
        <f t="shared" si="47"/>
        <v>0</v>
      </c>
      <c r="G168" s="10"/>
      <c r="H168" s="11">
        <f t="shared" si="48"/>
        <v>0</v>
      </c>
      <c r="I168" s="67">
        <v>32</v>
      </c>
      <c r="J168" s="10" t="s">
        <v>159</v>
      </c>
      <c r="K168" s="10"/>
      <c r="L168" s="10"/>
      <c r="M168" s="10"/>
      <c r="N168" s="12" t="s">
        <v>619</v>
      </c>
      <c r="O168" s="10"/>
      <c r="P168" s="58">
        <v>1400</v>
      </c>
      <c r="Q168" s="13">
        <f t="shared" si="39"/>
        <v>0.5053763440860215</v>
      </c>
      <c r="R168" s="11">
        <f t="shared" si="49"/>
        <v>0</v>
      </c>
      <c r="S168" s="10"/>
      <c r="T168" s="58">
        <f>E168*1.8</f>
        <v>1674</v>
      </c>
      <c r="U168" s="13">
        <f t="shared" si="52"/>
        <v>0.8</v>
      </c>
      <c r="V168" s="11">
        <f t="shared" si="50"/>
        <v>0</v>
      </c>
      <c r="W168" s="10"/>
      <c r="X168" s="58">
        <f>E168*2.05</f>
        <v>1906.4999999999998</v>
      </c>
      <c r="Y168" s="13">
        <f t="shared" si="53"/>
        <v>1.0499999999999998</v>
      </c>
      <c r="Z168" s="11">
        <f t="shared" si="51"/>
        <v>0</v>
      </c>
      <c r="AA168" s="10" t="s">
        <v>620</v>
      </c>
      <c r="AB168" s="10" t="s">
        <v>621</v>
      </c>
      <c r="AC168" s="2" t="s">
        <v>622</v>
      </c>
    </row>
    <row r="169" spans="1:29" x14ac:dyDescent="0.3">
      <c r="A169" s="10">
        <v>134</v>
      </c>
      <c r="B169" s="2"/>
      <c r="C169" s="2">
        <v>1</v>
      </c>
      <c r="D169" s="10"/>
      <c r="E169" s="40">
        <v>622</v>
      </c>
      <c r="F169" s="11">
        <f t="shared" si="47"/>
        <v>0</v>
      </c>
      <c r="G169" s="10"/>
      <c r="H169" s="11">
        <f t="shared" si="48"/>
        <v>0</v>
      </c>
      <c r="I169" s="66">
        <v>33</v>
      </c>
      <c r="J169" s="10" t="s">
        <v>159</v>
      </c>
      <c r="K169" s="10"/>
      <c r="L169" s="10"/>
      <c r="M169" s="10"/>
      <c r="N169" s="12" t="s">
        <v>623</v>
      </c>
      <c r="O169" s="10"/>
      <c r="P169" s="58">
        <v>900</v>
      </c>
      <c r="Q169" s="13">
        <f t="shared" si="39"/>
        <v>0.44694533762057875</v>
      </c>
      <c r="R169" s="11">
        <f t="shared" ref="R169:R200" si="54">O169*P169</f>
        <v>0</v>
      </c>
      <c r="S169" s="10"/>
      <c r="T169" s="58">
        <f>E169*1.8</f>
        <v>1119.6000000000001</v>
      </c>
      <c r="U169" s="13">
        <f t="shared" si="52"/>
        <v>0.80000000000000027</v>
      </c>
      <c r="V169" s="11">
        <f t="shared" si="50"/>
        <v>0</v>
      </c>
      <c r="W169" s="10"/>
      <c r="X169" s="58">
        <f>E169*2.05</f>
        <v>1275.0999999999999</v>
      </c>
      <c r="Y169" s="13">
        <f t="shared" si="53"/>
        <v>1.0499999999999998</v>
      </c>
      <c r="Z169" s="11">
        <f t="shared" si="51"/>
        <v>0</v>
      </c>
      <c r="AA169" s="10" t="s">
        <v>624</v>
      </c>
      <c r="AB169" s="10" t="s">
        <v>625</v>
      </c>
      <c r="AC169" s="2" t="s">
        <v>626</v>
      </c>
    </row>
    <row r="170" spans="1:29" x14ac:dyDescent="0.3">
      <c r="A170" s="5">
        <v>1</v>
      </c>
      <c r="B170" s="5">
        <v>88</v>
      </c>
      <c r="C170" s="5">
        <v>3</v>
      </c>
      <c r="D170" s="5">
        <v>56</v>
      </c>
      <c r="E170" s="41">
        <v>990</v>
      </c>
      <c r="F170" s="29">
        <f t="shared" si="47"/>
        <v>55440</v>
      </c>
      <c r="G170" s="5"/>
      <c r="H170" s="29">
        <f t="shared" si="48"/>
        <v>0</v>
      </c>
      <c r="I170" s="67">
        <v>34</v>
      </c>
      <c r="J170" s="5" t="s">
        <v>248</v>
      </c>
      <c r="K170" s="5"/>
      <c r="L170" s="5"/>
      <c r="M170" s="5"/>
      <c r="N170" s="6" t="s">
        <v>634</v>
      </c>
      <c r="O170" s="5">
        <v>56</v>
      </c>
      <c r="P170" s="59">
        <v>1700</v>
      </c>
      <c r="Q170" s="31">
        <f t="shared" si="39"/>
        <v>0.71717171717171713</v>
      </c>
      <c r="R170" s="32">
        <f t="shared" si="54"/>
        <v>95200</v>
      </c>
      <c r="S170" s="5"/>
      <c r="T170" s="41">
        <v>2000</v>
      </c>
      <c r="U170" s="33">
        <f t="shared" si="52"/>
        <v>1.0202020202020201</v>
      </c>
      <c r="V170" s="29">
        <f t="shared" si="50"/>
        <v>0</v>
      </c>
      <c r="W170" s="5"/>
      <c r="X170" s="41">
        <v>2500</v>
      </c>
      <c r="Y170" s="33">
        <f t="shared" si="53"/>
        <v>1.5252525252525253</v>
      </c>
      <c r="Z170" s="29">
        <f t="shared" si="51"/>
        <v>0</v>
      </c>
      <c r="AA170" s="5" t="s">
        <v>635</v>
      </c>
      <c r="AB170" s="5" t="s">
        <v>636</v>
      </c>
      <c r="AC170" s="5"/>
    </row>
    <row r="171" spans="1:29" x14ac:dyDescent="0.3">
      <c r="A171" s="5">
        <v>72</v>
      </c>
      <c r="B171" s="5">
        <v>84</v>
      </c>
      <c r="C171" s="5">
        <v>3</v>
      </c>
      <c r="D171" s="5">
        <v>2</v>
      </c>
      <c r="E171" s="41">
        <v>6900</v>
      </c>
      <c r="F171" s="29">
        <f t="shared" si="47"/>
        <v>13800</v>
      </c>
      <c r="G171" s="5"/>
      <c r="H171" s="29">
        <f t="shared" si="48"/>
        <v>0</v>
      </c>
      <c r="I171" s="66">
        <v>35</v>
      </c>
      <c r="J171" s="5" t="s">
        <v>627</v>
      </c>
      <c r="K171" s="5"/>
      <c r="L171" s="5"/>
      <c r="M171" s="5"/>
      <c r="N171" s="6" t="s">
        <v>637</v>
      </c>
      <c r="O171" s="5">
        <v>2</v>
      </c>
      <c r="P171" s="41">
        <v>11000</v>
      </c>
      <c r="Q171" s="33">
        <f t="shared" si="39"/>
        <v>0.59420289855072461</v>
      </c>
      <c r="R171" s="32">
        <f t="shared" si="54"/>
        <v>22000</v>
      </c>
      <c r="S171" s="5"/>
      <c r="T171" s="41">
        <v>12000</v>
      </c>
      <c r="U171" s="33">
        <f t="shared" si="52"/>
        <v>0.73913043478260865</v>
      </c>
      <c r="V171" s="29">
        <f t="shared" si="50"/>
        <v>0</v>
      </c>
      <c r="W171" s="5"/>
      <c r="X171" s="41">
        <v>14000</v>
      </c>
      <c r="Y171" s="33">
        <f t="shared" si="53"/>
        <v>1.0289855072463767</v>
      </c>
      <c r="Z171" s="29">
        <f t="shared" si="51"/>
        <v>0</v>
      </c>
      <c r="AA171" s="5" t="s">
        <v>638</v>
      </c>
      <c r="AB171" s="5" t="s">
        <v>639</v>
      </c>
      <c r="AC171" s="5"/>
    </row>
    <row r="172" spans="1:29" x14ac:dyDescent="0.3">
      <c r="A172" s="10">
        <v>377</v>
      </c>
      <c r="B172" s="2"/>
      <c r="C172" s="2">
        <v>1</v>
      </c>
      <c r="D172" s="10"/>
      <c r="E172" s="40">
        <v>6900</v>
      </c>
      <c r="F172" s="11">
        <f t="shared" si="47"/>
        <v>0</v>
      </c>
      <c r="G172" s="10"/>
      <c r="H172" s="11">
        <f t="shared" si="48"/>
        <v>0</v>
      </c>
      <c r="I172" s="67">
        <v>36</v>
      </c>
      <c r="J172" s="10" t="s">
        <v>627</v>
      </c>
      <c r="K172" s="10"/>
      <c r="L172" s="10"/>
      <c r="M172" s="10"/>
      <c r="N172" s="12" t="s">
        <v>628</v>
      </c>
      <c r="O172" s="10"/>
      <c r="P172" s="58">
        <v>11000</v>
      </c>
      <c r="Q172" s="13">
        <f t="shared" si="39"/>
        <v>0.59420289855072461</v>
      </c>
      <c r="R172" s="11">
        <f t="shared" si="54"/>
        <v>0</v>
      </c>
      <c r="S172" s="10"/>
      <c r="T172" s="58">
        <f>E172*1.8</f>
        <v>12420</v>
      </c>
      <c r="U172" s="13">
        <f t="shared" si="52"/>
        <v>0.8</v>
      </c>
      <c r="V172" s="11">
        <f t="shared" si="50"/>
        <v>0</v>
      </c>
      <c r="W172" s="10"/>
      <c r="X172" s="58">
        <f>E172*2.05</f>
        <v>14144.999999999998</v>
      </c>
      <c r="Y172" s="13">
        <f t="shared" si="53"/>
        <v>1.0499999999999998</v>
      </c>
      <c r="Z172" s="11">
        <f t="shared" si="51"/>
        <v>0</v>
      </c>
      <c r="AA172" s="10" t="s">
        <v>629</v>
      </c>
      <c r="AB172" s="10" t="s">
        <v>630</v>
      </c>
      <c r="AC172" s="2"/>
    </row>
    <row r="173" spans="1:29" x14ac:dyDescent="0.3">
      <c r="A173" s="5">
        <v>73</v>
      </c>
      <c r="B173" s="5">
        <v>89</v>
      </c>
      <c r="C173" s="5">
        <v>3</v>
      </c>
      <c r="D173" s="5">
        <v>1</v>
      </c>
      <c r="E173" s="41">
        <v>5200</v>
      </c>
      <c r="F173" s="29">
        <f t="shared" si="47"/>
        <v>5200</v>
      </c>
      <c r="G173" s="5"/>
      <c r="H173" s="29">
        <f t="shared" si="48"/>
        <v>0</v>
      </c>
      <c r="I173" s="66">
        <v>37</v>
      </c>
      <c r="J173" s="5" t="s">
        <v>627</v>
      </c>
      <c r="K173" s="5"/>
      <c r="L173" s="5"/>
      <c r="M173" s="5"/>
      <c r="N173" s="6" t="s">
        <v>640</v>
      </c>
      <c r="O173" s="5">
        <v>1</v>
      </c>
      <c r="P173" s="59">
        <v>9000</v>
      </c>
      <c r="Q173" s="33">
        <f t="shared" si="39"/>
        <v>0.73076923076923073</v>
      </c>
      <c r="R173" s="29">
        <f t="shared" si="54"/>
        <v>9000</v>
      </c>
      <c r="S173" s="5"/>
      <c r="T173" s="41">
        <v>9200</v>
      </c>
      <c r="U173" s="33">
        <f t="shared" si="52"/>
        <v>0.76923076923076927</v>
      </c>
      <c r="V173" s="29">
        <f t="shared" si="50"/>
        <v>0</v>
      </c>
      <c r="W173" s="5"/>
      <c r="X173" s="41">
        <v>10800</v>
      </c>
      <c r="Y173" s="33">
        <f t="shared" si="53"/>
        <v>1.0769230769230769</v>
      </c>
      <c r="Z173" s="29">
        <f t="shared" si="51"/>
        <v>0</v>
      </c>
      <c r="AA173" s="5" t="s">
        <v>641</v>
      </c>
      <c r="AB173" s="5" t="s">
        <v>642</v>
      </c>
      <c r="AC173" s="5" t="s">
        <v>643</v>
      </c>
    </row>
    <row r="174" spans="1:29" x14ac:dyDescent="0.3">
      <c r="A174" s="10">
        <v>378</v>
      </c>
      <c r="B174" s="2"/>
      <c r="C174" s="2">
        <v>1</v>
      </c>
      <c r="D174" s="10"/>
      <c r="E174" s="40">
        <v>5500</v>
      </c>
      <c r="F174" s="11">
        <f t="shared" si="47"/>
        <v>0</v>
      </c>
      <c r="G174" s="10"/>
      <c r="H174" s="11">
        <f t="shared" si="48"/>
        <v>0</v>
      </c>
      <c r="I174" s="67">
        <v>38</v>
      </c>
      <c r="J174" s="10" t="s">
        <v>627</v>
      </c>
      <c r="K174" s="10"/>
      <c r="L174" s="10"/>
      <c r="M174" s="10"/>
      <c r="N174" s="12" t="s">
        <v>631</v>
      </c>
      <c r="O174" s="10"/>
      <c r="P174" s="58">
        <v>8800</v>
      </c>
      <c r="Q174" s="13">
        <f t="shared" si="39"/>
        <v>0.6</v>
      </c>
      <c r="R174" s="11">
        <f t="shared" si="54"/>
        <v>0</v>
      </c>
      <c r="S174" s="10"/>
      <c r="T174" s="58">
        <f>E174*1.8</f>
        <v>9900</v>
      </c>
      <c r="U174" s="13">
        <f t="shared" si="52"/>
        <v>0.8</v>
      </c>
      <c r="V174" s="11">
        <f t="shared" si="50"/>
        <v>0</v>
      </c>
      <c r="W174" s="10"/>
      <c r="X174" s="58">
        <f>E174*2.05</f>
        <v>11274.999999999998</v>
      </c>
      <c r="Y174" s="13">
        <f t="shared" si="53"/>
        <v>1.0499999999999996</v>
      </c>
      <c r="Z174" s="11">
        <f t="shared" si="51"/>
        <v>0</v>
      </c>
      <c r="AA174" s="10" t="s">
        <v>632</v>
      </c>
      <c r="AB174" s="10" t="s">
        <v>633</v>
      </c>
      <c r="AC174" s="2"/>
    </row>
    <row r="175" spans="1:29" x14ac:dyDescent="0.3">
      <c r="A175" s="49">
        <v>74</v>
      </c>
      <c r="B175" s="49">
        <v>85</v>
      </c>
      <c r="C175" s="49">
        <v>4</v>
      </c>
      <c r="D175" s="49">
        <v>5</v>
      </c>
      <c r="E175" s="50">
        <v>2600</v>
      </c>
      <c r="F175" s="51">
        <f t="shared" si="47"/>
        <v>13000</v>
      </c>
      <c r="G175" s="49"/>
      <c r="H175" s="51">
        <f t="shared" si="48"/>
        <v>0</v>
      </c>
      <c r="I175" s="66">
        <v>39</v>
      </c>
      <c r="J175" s="51" t="s">
        <v>627</v>
      </c>
      <c r="K175" s="51"/>
      <c r="L175" s="51" t="s">
        <v>517</v>
      </c>
      <c r="M175" s="51"/>
      <c r="N175" s="52" t="s">
        <v>644</v>
      </c>
      <c r="O175" s="49">
        <v>5</v>
      </c>
      <c r="P175" s="50">
        <v>3900</v>
      </c>
      <c r="Q175" s="53">
        <f t="shared" si="39"/>
        <v>0.5</v>
      </c>
      <c r="R175" s="54">
        <f t="shared" si="54"/>
        <v>19500</v>
      </c>
      <c r="S175" s="49"/>
      <c r="T175" s="50">
        <v>4300</v>
      </c>
      <c r="U175" s="53">
        <f t="shared" si="52"/>
        <v>0.65384615384615385</v>
      </c>
      <c r="V175" s="51">
        <f t="shared" si="50"/>
        <v>0</v>
      </c>
      <c r="W175" s="49"/>
      <c r="X175" s="50">
        <v>5000</v>
      </c>
      <c r="Y175" s="53">
        <f t="shared" si="53"/>
        <v>0.92307692307692313</v>
      </c>
      <c r="Z175" s="51">
        <f t="shared" si="51"/>
        <v>0</v>
      </c>
      <c r="AA175" s="49" t="s">
        <v>645</v>
      </c>
      <c r="AB175" s="49"/>
      <c r="AC175" s="49"/>
    </row>
    <row r="176" spans="1:29" x14ac:dyDescent="0.3">
      <c r="A176" s="5">
        <v>10</v>
      </c>
      <c r="B176" s="5">
        <v>11</v>
      </c>
      <c r="C176" s="5">
        <v>3</v>
      </c>
      <c r="D176" s="5">
        <v>26</v>
      </c>
      <c r="E176" s="41">
        <v>950</v>
      </c>
      <c r="F176" s="29">
        <f t="shared" si="47"/>
        <v>24700</v>
      </c>
      <c r="G176" s="5"/>
      <c r="H176" s="29">
        <f t="shared" si="48"/>
        <v>0</v>
      </c>
      <c r="I176" s="67">
        <v>40</v>
      </c>
      <c r="J176" s="5" t="s">
        <v>130</v>
      </c>
      <c r="K176" s="5"/>
      <c r="L176" s="5"/>
      <c r="M176" s="5"/>
      <c r="N176" s="6" t="s">
        <v>646</v>
      </c>
      <c r="O176" s="5">
        <v>26</v>
      </c>
      <c r="P176" s="41">
        <v>1600</v>
      </c>
      <c r="Q176" s="33">
        <f t="shared" si="39"/>
        <v>0.68421052631578949</v>
      </c>
      <c r="R176" s="32">
        <f t="shared" si="54"/>
        <v>41600</v>
      </c>
      <c r="S176" s="5"/>
      <c r="T176" s="41">
        <v>1700</v>
      </c>
      <c r="U176" s="33">
        <f t="shared" si="52"/>
        <v>0.78947368421052633</v>
      </c>
      <c r="V176" s="29">
        <f t="shared" si="50"/>
        <v>0</v>
      </c>
      <c r="W176" s="5"/>
      <c r="X176" s="41">
        <v>2000</v>
      </c>
      <c r="Y176" s="33">
        <f t="shared" si="53"/>
        <v>1.1052631578947369</v>
      </c>
      <c r="Z176" s="29">
        <f t="shared" si="51"/>
        <v>0</v>
      </c>
      <c r="AA176" s="5" t="s">
        <v>647</v>
      </c>
      <c r="AB176" s="5" t="s">
        <v>648</v>
      </c>
      <c r="AC176" s="5" t="s">
        <v>649</v>
      </c>
    </row>
    <row r="177" spans="1:29" x14ac:dyDescent="0.3">
      <c r="A177" s="5">
        <v>6</v>
      </c>
      <c r="B177" s="5">
        <v>13</v>
      </c>
      <c r="C177" s="5">
        <v>3</v>
      </c>
      <c r="D177" s="5">
        <v>16</v>
      </c>
      <c r="E177" s="41">
        <v>2300</v>
      </c>
      <c r="F177" s="29">
        <f t="shared" si="47"/>
        <v>36800</v>
      </c>
      <c r="G177" s="5"/>
      <c r="H177" s="29">
        <f t="shared" si="48"/>
        <v>0</v>
      </c>
      <c r="I177" s="66">
        <v>41</v>
      </c>
      <c r="J177" s="5" t="s">
        <v>130</v>
      </c>
      <c r="K177" s="5"/>
      <c r="L177" s="5"/>
      <c r="M177" s="5" t="s">
        <v>518</v>
      </c>
      <c r="N177" s="6" t="s">
        <v>650</v>
      </c>
      <c r="O177" s="5">
        <v>16</v>
      </c>
      <c r="P177" s="73">
        <v>3500</v>
      </c>
      <c r="Q177" s="33">
        <f t="shared" si="39"/>
        <v>0.52173913043478259</v>
      </c>
      <c r="R177" s="32">
        <f t="shared" si="54"/>
        <v>56000</v>
      </c>
      <c r="S177" s="5"/>
      <c r="T177" s="41">
        <v>4000</v>
      </c>
      <c r="U177" s="33">
        <f t="shared" si="52"/>
        <v>0.73913043478260865</v>
      </c>
      <c r="V177" s="29">
        <f t="shared" si="50"/>
        <v>0</v>
      </c>
      <c r="W177" s="5"/>
      <c r="X177" s="41">
        <v>4700</v>
      </c>
      <c r="Y177" s="33">
        <f t="shared" si="53"/>
        <v>1.0434782608695652</v>
      </c>
      <c r="Z177" s="29">
        <f t="shared" si="51"/>
        <v>0</v>
      </c>
      <c r="AA177" s="5" t="s">
        <v>651</v>
      </c>
      <c r="AB177" s="5" t="s">
        <v>652</v>
      </c>
      <c r="AC177" s="5" t="s">
        <v>653</v>
      </c>
    </row>
    <row r="178" spans="1:29" x14ac:dyDescent="0.3">
      <c r="A178" s="10">
        <v>92</v>
      </c>
      <c r="B178" s="2"/>
      <c r="C178" s="2">
        <v>1</v>
      </c>
      <c r="D178" s="10"/>
      <c r="E178" s="40">
        <v>2192</v>
      </c>
      <c r="F178" s="11">
        <f t="shared" si="47"/>
        <v>0</v>
      </c>
      <c r="G178" s="10"/>
      <c r="H178" s="11">
        <f t="shared" si="48"/>
        <v>0</v>
      </c>
      <c r="I178" s="67">
        <v>42</v>
      </c>
      <c r="J178" s="10" t="s">
        <v>130</v>
      </c>
      <c r="K178" s="10"/>
      <c r="L178" s="10"/>
      <c r="M178" s="10"/>
      <c r="N178" s="12" t="s">
        <v>654</v>
      </c>
      <c r="O178" s="10"/>
      <c r="P178" s="58">
        <v>3500</v>
      </c>
      <c r="Q178" s="13">
        <f t="shared" si="39"/>
        <v>0.59671532846715325</v>
      </c>
      <c r="R178" s="11">
        <f t="shared" si="54"/>
        <v>0</v>
      </c>
      <c r="S178" s="10"/>
      <c r="T178" s="58">
        <f>E178*1.8</f>
        <v>3945.6</v>
      </c>
      <c r="U178" s="13">
        <f t="shared" si="52"/>
        <v>0.79999999999999993</v>
      </c>
      <c r="V178" s="11">
        <f t="shared" si="50"/>
        <v>0</v>
      </c>
      <c r="W178" s="10"/>
      <c r="X178" s="58">
        <f>E178*2.05</f>
        <v>4493.5999999999995</v>
      </c>
      <c r="Y178" s="13">
        <f t="shared" si="53"/>
        <v>1.0499999999999998</v>
      </c>
      <c r="Z178" s="11">
        <f t="shared" si="51"/>
        <v>0</v>
      </c>
      <c r="AA178" s="10" t="s">
        <v>655</v>
      </c>
      <c r="AB178" s="10" t="s">
        <v>656</v>
      </c>
      <c r="AC178" s="2" t="s">
        <v>657</v>
      </c>
    </row>
    <row r="179" spans="1:29" x14ac:dyDescent="0.3">
      <c r="A179" s="5">
        <v>9</v>
      </c>
      <c r="B179" s="5">
        <v>8</v>
      </c>
      <c r="C179" s="5">
        <v>3</v>
      </c>
      <c r="D179" s="5">
        <v>2</v>
      </c>
      <c r="E179" s="41">
        <v>9900</v>
      </c>
      <c r="F179" s="29">
        <f t="shared" si="47"/>
        <v>19800</v>
      </c>
      <c r="G179" s="5"/>
      <c r="H179" s="29">
        <f t="shared" si="48"/>
        <v>0</v>
      </c>
      <c r="I179" s="66">
        <v>43</v>
      </c>
      <c r="J179" s="5" t="s">
        <v>130</v>
      </c>
      <c r="K179" s="5"/>
      <c r="L179" s="5"/>
      <c r="M179" s="5"/>
      <c r="N179" s="6" t="s">
        <v>658</v>
      </c>
      <c r="O179" s="5">
        <v>2</v>
      </c>
      <c r="P179" s="59">
        <v>16000</v>
      </c>
      <c r="Q179" s="33">
        <f t="shared" si="39"/>
        <v>0.61616161616161613</v>
      </c>
      <c r="R179" s="32">
        <f t="shared" si="54"/>
        <v>32000</v>
      </c>
      <c r="S179" s="5"/>
      <c r="T179" s="59">
        <v>14000</v>
      </c>
      <c r="U179" s="33">
        <v>0.41414141414141409</v>
      </c>
      <c r="V179" s="29">
        <v>0</v>
      </c>
      <c r="W179" s="5"/>
      <c r="X179" s="59">
        <v>16000</v>
      </c>
      <c r="Y179" s="33">
        <v>0.61616161616161613</v>
      </c>
      <c r="Z179" s="29">
        <v>0</v>
      </c>
      <c r="AA179" s="5" t="s">
        <v>659</v>
      </c>
      <c r="AB179" s="5" t="s">
        <v>660</v>
      </c>
      <c r="AC179" s="5"/>
    </row>
    <row r="180" spans="1:29" x14ac:dyDescent="0.3">
      <c r="A180" s="5">
        <v>7</v>
      </c>
      <c r="B180" s="5">
        <v>3</v>
      </c>
      <c r="C180" s="5">
        <v>3</v>
      </c>
      <c r="D180" s="5">
        <v>4</v>
      </c>
      <c r="E180" s="41">
        <v>4000</v>
      </c>
      <c r="F180" s="29">
        <f t="shared" si="47"/>
        <v>16000</v>
      </c>
      <c r="G180" s="5"/>
      <c r="H180" s="29">
        <f t="shared" si="48"/>
        <v>0</v>
      </c>
      <c r="I180" s="67">
        <v>44</v>
      </c>
      <c r="J180" s="5" t="s">
        <v>130</v>
      </c>
      <c r="K180" s="5"/>
      <c r="L180" s="5"/>
      <c r="M180" s="5" t="s">
        <v>518</v>
      </c>
      <c r="N180" s="6" t="s">
        <v>661</v>
      </c>
      <c r="O180" s="5">
        <v>4</v>
      </c>
      <c r="P180" s="73">
        <v>7000</v>
      </c>
      <c r="Q180" s="33">
        <f t="shared" si="39"/>
        <v>0.75</v>
      </c>
      <c r="R180" s="32">
        <f t="shared" si="54"/>
        <v>28000</v>
      </c>
      <c r="S180" s="5"/>
      <c r="T180" s="41">
        <v>8500</v>
      </c>
      <c r="U180" s="33">
        <f t="shared" ref="U180:U224" si="55">(T180-E180)/E180</f>
        <v>1.125</v>
      </c>
      <c r="V180" s="29">
        <f t="shared" ref="V180:V224" si="56">S180*T180</f>
        <v>0</v>
      </c>
      <c r="W180" s="5"/>
      <c r="X180" s="41">
        <v>10000</v>
      </c>
      <c r="Y180" s="33">
        <f t="shared" ref="Y180:Y224" si="57">(X180-E180)/E180</f>
        <v>1.5</v>
      </c>
      <c r="Z180" s="29">
        <f t="shared" ref="Z180:Z224" si="58">W180*X180</f>
        <v>0</v>
      </c>
      <c r="AA180" s="5" t="s">
        <v>662</v>
      </c>
      <c r="AB180" s="5" t="s">
        <v>663</v>
      </c>
      <c r="AC180" s="5" t="s">
        <v>664</v>
      </c>
    </row>
    <row r="181" spans="1:29" x14ac:dyDescent="0.3">
      <c r="A181" s="5">
        <v>8</v>
      </c>
      <c r="B181" s="5">
        <v>4</v>
      </c>
      <c r="C181" s="5">
        <v>3</v>
      </c>
      <c r="D181" s="5">
        <v>2</v>
      </c>
      <c r="E181" s="41">
        <v>5500</v>
      </c>
      <c r="F181" s="29">
        <f t="shared" si="47"/>
        <v>11000</v>
      </c>
      <c r="G181" s="5"/>
      <c r="H181" s="29">
        <f t="shared" si="48"/>
        <v>0</v>
      </c>
      <c r="I181" s="66">
        <v>45</v>
      </c>
      <c r="J181" s="5" t="s">
        <v>130</v>
      </c>
      <c r="K181" s="5"/>
      <c r="L181" s="5"/>
      <c r="M181" s="5"/>
      <c r="N181" s="6" t="s">
        <v>665</v>
      </c>
      <c r="O181" s="5">
        <v>2</v>
      </c>
      <c r="P181" s="41">
        <v>9000</v>
      </c>
      <c r="Q181" s="33">
        <f t="shared" si="39"/>
        <v>0.63636363636363635</v>
      </c>
      <c r="R181" s="29">
        <f t="shared" si="54"/>
        <v>18000</v>
      </c>
      <c r="S181" s="5"/>
      <c r="T181" s="41">
        <v>10500</v>
      </c>
      <c r="U181" s="33">
        <f t="shared" si="55"/>
        <v>0.90909090909090906</v>
      </c>
      <c r="V181" s="29">
        <f t="shared" si="56"/>
        <v>0</v>
      </c>
      <c r="W181" s="5"/>
      <c r="X181" s="41">
        <v>12000</v>
      </c>
      <c r="Y181" s="33">
        <f t="shared" si="57"/>
        <v>1.1818181818181819</v>
      </c>
      <c r="Z181" s="29">
        <f t="shared" si="58"/>
        <v>0</v>
      </c>
      <c r="AA181" s="5" t="s">
        <v>666</v>
      </c>
      <c r="AB181" s="5" t="s">
        <v>667</v>
      </c>
      <c r="AC181" s="5" t="s">
        <v>668</v>
      </c>
    </row>
    <row r="182" spans="1:29" x14ac:dyDescent="0.3">
      <c r="A182" s="5">
        <v>5</v>
      </c>
      <c r="B182" s="5">
        <v>2</v>
      </c>
      <c r="C182" s="5">
        <v>3</v>
      </c>
      <c r="D182" s="5">
        <v>7</v>
      </c>
      <c r="E182" s="41">
        <v>4900</v>
      </c>
      <c r="F182" s="29">
        <f t="shared" si="47"/>
        <v>34300</v>
      </c>
      <c r="G182" s="5"/>
      <c r="H182" s="29">
        <f t="shared" si="48"/>
        <v>0</v>
      </c>
      <c r="I182" s="67">
        <v>46</v>
      </c>
      <c r="J182" s="5" t="s">
        <v>130</v>
      </c>
      <c r="K182" s="5"/>
      <c r="L182" s="5"/>
      <c r="M182" s="5" t="s">
        <v>518</v>
      </c>
      <c r="N182" s="6" t="s">
        <v>669</v>
      </c>
      <c r="O182" s="5">
        <v>7</v>
      </c>
      <c r="P182" s="73">
        <v>8000</v>
      </c>
      <c r="Q182" s="33">
        <f t="shared" si="39"/>
        <v>0.63265306122448983</v>
      </c>
      <c r="R182" s="32">
        <f t="shared" si="54"/>
        <v>56000</v>
      </c>
      <c r="S182" s="5"/>
      <c r="T182" s="41">
        <v>13000</v>
      </c>
      <c r="U182" s="33">
        <f t="shared" si="55"/>
        <v>1.653061224489796</v>
      </c>
      <c r="V182" s="29">
        <f t="shared" si="56"/>
        <v>0</v>
      </c>
      <c r="W182" s="5"/>
      <c r="X182" s="41">
        <v>15000</v>
      </c>
      <c r="Y182" s="33">
        <f t="shared" si="57"/>
        <v>2.0612244897959182</v>
      </c>
      <c r="Z182" s="29">
        <f t="shared" si="58"/>
        <v>0</v>
      </c>
      <c r="AA182" s="5" t="s">
        <v>670</v>
      </c>
      <c r="AB182" s="5" t="s">
        <v>671</v>
      </c>
      <c r="AC182" s="5" t="s">
        <v>672</v>
      </c>
    </row>
    <row r="183" spans="1:29" x14ac:dyDescent="0.3">
      <c r="A183" s="5">
        <v>4</v>
      </c>
      <c r="B183" s="5">
        <v>1</v>
      </c>
      <c r="C183" s="5">
        <v>3</v>
      </c>
      <c r="D183" s="5">
        <v>5</v>
      </c>
      <c r="E183" s="41">
        <v>9500</v>
      </c>
      <c r="F183" s="29">
        <f t="shared" si="47"/>
        <v>47500</v>
      </c>
      <c r="G183" s="5"/>
      <c r="H183" s="29">
        <f t="shared" si="48"/>
        <v>0</v>
      </c>
      <c r="I183" s="66">
        <v>47</v>
      </c>
      <c r="J183" s="5" t="s">
        <v>130</v>
      </c>
      <c r="K183" s="5"/>
      <c r="L183" s="5"/>
      <c r="M183" s="5"/>
      <c r="N183" s="6" t="s">
        <v>673</v>
      </c>
      <c r="O183" s="5">
        <v>5</v>
      </c>
      <c r="P183" s="41">
        <v>14500</v>
      </c>
      <c r="Q183" s="33">
        <f t="shared" si="39"/>
        <v>0.52631578947368418</v>
      </c>
      <c r="R183" s="32">
        <f t="shared" si="54"/>
        <v>72500</v>
      </c>
      <c r="S183" s="5"/>
      <c r="T183" s="41">
        <v>16500</v>
      </c>
      <c r="U183" s="33">
        <f t="shared" si="55"/>
        <v>0.73684210526315785</v>
      </c>
      <c r="V183" s="29">
        <f t="shared" si="56"/>
        <v>0</v>
      </c>
      <c r="W183" s="5"/>
      <c r="X183" s="41">
        <v>20000</v>
      </c>
      <c r="Y183" s="33">
        <f t="shared" si="57"/>
        <v>1.1052631578947369</v>
      </c>
      <c r="Z183" s="29">
        <f t="shared" si="58"/>
        <v>0</v>
      </c>
      <c r="AA183" s="5" t="s">
        <v>674</v>
      </c>
      <c r="AB183" s="5" t="s">
        <v>675</v>
      </c>
      <c r="AC183" s="5" t="s">
        <v>676</v>
      </c>
    </row>
    <row r="184" spans="1:29" x14ac:dyDescent="0.3">
      <c r="A184" s="10">
        <v>93</v>
      </c>
      <c r="B184" s="2"/>
      <c r="C184" s="2">
        <v>1</v>
      </c>
      <c r="D184" s="10"/>
      <c r="E184" s="40">
        <v>12900</v>
      </c>
      <c r="F184" s="11">
        <f t="shared" si="47"/>
        <v>0</v>
      </c>
      <c r="G184" s="10"/>
      <c r="H184" s="11">
        <f t="shared" si="48"/>
        <v>0</v>
      </c>
      <c r="I184" s="67">
        <v>48</v>
      </c>
      <c r="J184" s="10" t="s">
        <v>130</v>
      </c>
      <c r="K184" s="10"/>
      <c r="L184" s="10"/>
      <c r="M184" s="10"/>
      <c r="N184" s="12" t="s">
        <v>677</v>
      </c>
      <c r="O184" s="10"/>
      <c r="P184" s="58">
        <v>20600</v>
      </c>
      <c r="Q184" s="13">
        <f t="shared" si="39"/>
        <v>0.5968992248062015</v>
      </c>
      <c r="R184" s="11">
        <f t="shared" si="54"/>
        <v>0</v>
      </c>
      <c r="S184" s="10"/>
      <c r="T184" s="58">
        <f>E184*1.8</f>
        <v>23220</v>
      </c>
      <c r="U184" s="13">
        <f t="shared" si="55"/>
        <v>0.8</v>
      </c>
      <c r="V184" s="11">
        <f t="shared" si="56"/>
        <v>0</v>
      </c>
      <c r="W184" s="10"/>
      <c r="X184" s="58">
        <f>E184*2.05</f>
        <v>26444.999999999996</v>
      </c>
      <c r="Y184" s="13">
        <f t="shared" si="57"/>
        <v>1.0499999999999998</v>
      </c>
      <c r="Z184" s="11">
        <f t="shared" si="58"/>
        <v>0</v>
      </c>
      <c r="AA184" s="10" t="s">
        <v>678</v>
      </c>
      <c r="AB184" s="10" t="s">
        <v>679</v>
      </c>
      <c r="AC184" s="2"/>
    </row>
    <row r="185" spans="1:29" x14ac:dyDescent="0.3">
      <c r="A185" s="10">
        <v>94</v>
      </c>
      <c r="B185" s="2"/>
      <c r="C185" s="2">
        <v>1</v>
      </c>
      <c r="D185" s="10"/>
      <c r="E185" s="40">
        <v>17989</v>
      </c>
      <c r="F185" s="11">
        <f t="shared" si="47"/>
        <v>0</v>
      </c>
      <c r="G185" s="10"/>
      <c r="H185" s="11">
        <f t="shared" si="48"/>
        <v>0</v>
      </c>
      <c r="I185" s="66">
        <v>49</v>
      </c>
      <c r="J185" s="10" t="s">
        <v>130</v>
      </c>
      <c r="K185" s="10"/>
      <c r="L185" s="10"/>
      <c r="M185" s="10"/>
      <c r="N185" s="12" t="s">
        <v>680</v>
      </c>
      <c r="O185" s="10"/>
      <c r="P185" s="58">
        <v>28700</v>
      </c>
      <c r="Q185" s="13">
        <f t="shared" si="39"/>
        <v>0.59541942298071049</v>
      </c>
      <c r="R185" s="11">
        <f t="shared" si="54"/>
        <v>0</v>
      </c>
      <c r="S185" s="10"/>
      <c r="T185" s="58">
        <f>E185*1.8</f>
        <v>32380.2</v>
      </c>
      <c r="U185" s="13">
        <f t="shared" si="55"/>
        <v>0.8</v>
      </c>
      <c r="V185" s="11">
        <f t="shared" si="56"/>
        <v>0</v>
      </c>
      <c r="W185" s="10"/>
      <c r="X185" s="58">
        <f>E185*2.05</f>
        <v>36877.449999999997</v>
      </c>
      <c r="Y185" s="13">
        <f t="shared" si="57"/>
        <v>1.0499999999999998</v>
      </c>
      <c r="Z185" s="11">
        <f t="shared" si="58"/>
        <v>0</v>
      </c>
      <c r="AA185" s="10" t="s">
        <v>681</v>
      </c>
      <c r="AB185" s="10" t="s">
        <v>682</v>
      </c>
      <c r="AC185" s="2" t="s">
        <v>683</v>
      </c>
    </row>
    <row r="186" spans="1:29" x14ac:dyDescent="0.3">
      <c r="A186" s="10">
        <v>95</v>
      </c>
      <c r="B186" s="2"/>
      <c r="C186" s="2">
        <v>1</v>
      </c>
      <c r="D186" s="10"/>
      <c r="E186" s="40">
        <v>17989</v>
      </c>
      <c r="F186" s="11">
        <f t="shared" si="47"/>
        <v>0</v>
      </c>
      <c r="G186" s="10"/>
      <c r="H186" s="11">
        <f t="shared" si="48"/>
        <v>0</v>
      </c>
      <c r="I186" s="67">
        <v>50</v>
      </c>
      <c r="J186" s="10" t="s">
        <v>130</v>
      </c>
      <c r="K186" s="10"/>
      <c r="L186" s="10"/>
      <c r="M186" s="10"/>
      <c r="N186" s="12" t="s">
        <v>684</v>
      </c>
      <c r="O186" s="10"/>
      <c r="P186" s="58">
        <v>28700</v>
      </c>
      <c r="Q186" s="13">
        <f t="shared" si="39"/>
        <v>0.59541942298071049</v>
      </c>
      <c r="R186" s="11">
        <f t="shared" si="54"/>
        <v>0</v>
      </c>
      <c r="S186" s="10"/>
      <c r="T186" s="58">
        <f>E186*1.8</f>
        <v>32380.2</v>
      </c>
      <c r="U186" s="13">
        <f t="shared" si="55"/>
        <v>0.8</v>
      </c>
      <c r="V186" s="11">
        <f t="shared" si="56"/>
        <v>0</v>
      </c>
      <c r="W186" s="10"/>
      <c r="X186" s="58">
        <f>E186*2.05</f>
        <v>36877.449999999997</v>
      </c>
      <c r="Y186" s="13">
        <f t="shared" si="57"/>
        <v>1.0499999999999998</v>
      </c>
      <c r="Z186" s="11">
        <f t="shared" si="58"/>
        <v>0</v>
      </c>
      <c r="AA186" s="10" t="s">
        <v>685</v>
      </c>
      <c r="AB186" s="10" t="s">
        <v>686</v>
      </c>
      <c r="AC186" s="2" t="s">
        <v>687</v>
      </c>
    </row>
    <row r="187" spans="1:29" x14ac:dyDescent="0.3">
      <c r="A187" s="5">
        <v>68</v>
      </c>
      <c r="B187" s="5">
        <v>70</v>
      </c>
      <c r="C187" s="5">
        <v>3</v>
      </c>
      <c r="D187" s="5">
        <v>4</v>
      </c>
      <c r="E187" s="41">
        <v>5500</v>
      </c>
      <c r="F187" s="29">
        <f t="shared" si="47"/>
        <v>22000</v>
      </c>
      <c r="G187" s="5"/>
      <c r="H187" s="29">
        <f t="shared" si="48"/>
        <v>0</v>
      </c>
      <c r="I187" s="66">
        <v>51</v>
      </c>
      <c r="J187" s="5" t="s">
        <v>688</v>
      </c>
      <c r="K187" s="5"/>
      <c r="L187" s="5"/>
      <c r="M187" s="5"/>
      <c r="N187" s="6" t="s">
        <v>693</v>
      </c>
      <c r="O187" s="5">
        <v>4</v>
      </c>
      <c r="P187" s="59">
        <v>9000</v>
      </c>
      <c r="Q187" s="33">
        <f t="shared" si="39"/>
        <v>0.63636363636363635</v>
      </c>
      <c r="R187" s="32">
        <f t="shared" si="54"/>
        <v>36000</v>
      </c>
      <c r="S187" s="5"/>
      <c r="T187" s="41">
        <v>10000</v>
      </c>
      <c r="U187" s="33">
        <f t="shared" si="55"/>
        <v>0.81818181818181823</v>
      </c>
      <c r="V187" s="29">
        <f t="shared" si="56"/>
        <v>0</v>
      </c>
      <c r="W187" s="5"/>
      <c r="X187" s="41">
        <v>12000</v>
      </c>
      <c r="Y187" s="33">
        <f t="shared" si="57"/>
        <v>1.1818181818181819</v>
      </c>
      <c r="Z187" s="29">
        <f t="shared" si="58"/>
        <v>0</v>
      </c>
      <c r="AA187" s="5" t="s">
        <v>694</v>
      </c>
      <c r="AB187" s="5" t="s">
        <v>695</v>
      </c>
      <c r="AC187" s="5"/>
    </row>
    <row r="188" spans="1:29" x14ac:dyDescent="0.3">
      <c r="A188" s="37">
        <v>555</v>
      </c>
      <c r="B188" s="37"/>
      <c r="C188" s="37">
        <v>5</v>
      </c>
      <c r="D188" s="37"/>
      <c r="E188" s="44">
        <v>6200</v>
      </c>
      <c r="F188" s="38">
        <f t="shared" si="47"/>
        <v>0</v>
      </c>
      <c r="G188" s="37"/>
      <c r="H188" s="38">
        <f t="shared" si="48"/>
        <v>0</v>
      </c>
      <c r="I188" s="67">
        <v>52</v>
      </c>
      <c r="J188" s="37" t="s">
        <v>688</v>
      </c>
      <c r="K188" s="37" t="s">
        <v>1960</v>
      </c>
      <c r="L188" s="37"/>
      <c r="M188" s="37"/>
      <c r="N188" s="36" t="s">
        <v>696</v>
      </c>
      <c r="O188" s="37"/>
      <c r="P188" s="44">
        <v>9900</v>
      </c>
      <c r="Q188" s="45">
        <f t="shared" si="39"/>
        <v>0.59677419354838712</v>
      </c>
      <c r="R188" s="46">
        <f t="shared" si="54"/>
        <v>0</v>
      </c>
      <c r="S188" s="37"/>
      <c r="T188" s="44">
        <f t="shared" ref="T188:T208" si="59">E188*1.8</f>
        <v>11160</v>
      </c>
      <c r="U188" s="45">
        <f t="shared" si="55"/>
        <v>0.8</v>
      </c>
      <c r="V188" s="38">
        <f t="shared" si="56"/>
        <v>0</v>
      </c>
      <c r="W188" s="37"/>
      <c r="X188" s="44">
        <f t="shared" ref="X188:X208" si="60">E188*2.05</f>
        <v>12709.999999999998</v>
      </c>
      <c r="Y188" s="45">
        <f t="shared" si="57"/>
        <v>1.0499999999999996</v>
      </c>
      <c r="Z188" s="38">
        <f t="shared" si="58"/>
        <v>0</v>
      </c>
      <c r="AA188" s="37" t="s">
        <v>697</v>
      </c>
      <c r="AB188" s="37" t="s">
        <v>698</v>
      </c>
      <c r="AC188" s="37"/>
    </row>
    <row r="189" spans="1:29" x14ac:dyDescent="0.3">
      <c r="A189" s="10">
        <v>359</v>
      </c>
      <c r="B189" s="2"/>
      <c r="C189" s="2">
        <v>1</v>
      </c>
      <c r="D189" s="10"/>
      <c r="E189" s="40">
        <v>5250</v>
      </c>
      <c r="F189" s="11">
        <f t="shared" si="47"/>
        <v>0</v>
      </c>
      <c r="G189" s="10"/>
      <c r="H189" s="11">
        <f t="shared" si="48"/>
        <v>0</v>
      </c>
      <c r="I189" s="66">
        <v>53</v>
      </c>
      <c r="J189" s="10" t="s">
        <v>688</v>
      </c>
      <c r="K189" s="10"/>
      <c r="L189" s="10"/>
      <c r="M189" s="10"/>
      <c r="N189" s="12" t="s">
        <v>689</v>
      </c>
      <c r="O189" s="10"/>
      <c r="P189" s="58">
        <v>8400</v>
      </c>
      <c r="Q189" s="13">
        <f t="shared" si="39"/>
        <v>0.6</v>
      </c>
      <c r="R189" s="11">
        <f t="shared" si="54"/>
        <v>0</v>
      </c>
      <c r="S189" s="10"/>
      <c r="T189" s="58">
        <f t="shared" si="59"/>
        <v>9450</v>
      </c>
      <c r="U189" s="13">
        <f t="shared" si="55"/>
        <v>0.8</v>
      </c>
      <c r="V189" s="11">
        <f t="shared" si="56"/>
        <v>0</v>
      </c>
      <c r="W189" s="10"/>
      <c r="X189" s="58">
        <f t="shared" si="60"/>
        <v>10762.499999999998</v>
      </c>
      <c r="Y189" s="13">
        <f t="shared" si="57"/>
        <v>1.0499999999999996</v>
      </c>
      <c r="Z189" s="11">
        <f t="shared" si="58"/>
        <v>0</v>
      </c>
      <c r="AA189" s="10" t="s">
        <v>690</v>
      </c>
      <c r="AB189" s="10" t="s">
        <v>691</v>
      </c>
      <c r="AC189" s="2" t="s">
        <v>692</v>
      </c>
    </row>
    <row r="190" spans="1:29" x14ac:dyDescent="0.3">
      <c r="A190" s="37">
        <v>546</v>
      </c>
      <c r="B190" s="37"/>
      <c r="C190" s="37">
        <v>5</v>
      </c>
      <c r="D190" s="37">
        <v>1</v>
      </c>
      <c r="E190" s="44">
        <v>6900</v>
      </c>
      <c r="F190" s="38">
        <f t="shared" si="47"/>
        <v>6900</v>
      </c>
      <c r="G190" s="37"/>
      <c r="H190" s="38">
        <f t="shared" si="48"/>
        <v>0</v>
      </c>
      <c r="I190" s="67">
        <v>54</v>
      </c>
      <c r="J190" s="37" t="s">
        <v>688</v>
      </c>
      <c r="K190" s="37" t="s">
        <v>1960</v>
      </c>
      <c r="L190" s="37"/>
      <c r="M190" s="37"/>
      <c r="N190" s="36" t="s">
        <v>699</v>
      </c>
      <c r="O190" s="37">
        <v>1</v>
      </c>
      <c r="P190" s="44">
        <v>11000</v>
      </c>
      <c r="Q190" s="45">
        <f t="shared" si="39"/>
        <v>0.59420289855072461</v>
      </c>
      <c r="R190" s="46">
        <f t="shared" si="54"/>
        <v>11000</v>
      </c>
      <c r="S190" s="37"/>
      <c r="T190" s="44">
        <f t="shared" si="59"/>
        <v>12420</v>
      </c>
      <c r="U190" s="45">
        <f t="shared" si="55"/>
        <v>0.8</v>
      </c>
      <c r="V190" s="38">
        <f t="shared" si="56"/>
        <v>0</v>
      </c>
      <c r="W190" s="37"/>
      <c r="X190" s="44">
        <f t="shared" si="60"/>
        <v>14144.999999999998</v>
      </c>
      <c r="Y190" s="45">
        <f t="shared" si="57"/>
        <v>1.0499999999999998</v>
      </c>
      <c r="Z190" s="38">
        <f t="shared" si="58"/>
        <v>0</v>
      </c>
      <c r="AA190" s="37" t="s">
        <v>700</v>
      </c>
      <c r="AB190" s="37" t="s">
        <v>701</v>
      </c>
      <c r="AC190" s="37"/>
    </row>
    <row r="191" spans="1:29" x14ac:dyDescent="0.3">
      <c r="A191" s="10">
        <v>348</v>
      </c>
      <c r="B191" s="2"/>
      <c r="C191" s="2">
        <v>1</v>
      </c>
      <c r="D191" s="10"/>
      <c r="E191" s="40">
        <v>8500</v>
      </c>
      <c r="F191" s="11">
        <f t="shared" si="47"/>
        <v>0</v>
      </c>
      <c r="G191" s="10"/>
      <c r="H191" s="11">
        <f t="shared" si="48"/>
        <v>0</v>
      </c>
      <c r="I191" s="66">
        <v>55</v>
      </c>
      <c r="J191" s="10" t="s">
        <v>688</v>
      </c>
      <c r="K191" s="10"/>
      <c r="L191" s="10"/>
      <c r="M191" s="10"/>
      <c r="N191" s="12" t="s">
        <v>708</v>
      </c>
      <c r="O191" s="10"/>
      <c r="P191" s="58">
        <v>13600</v>
      </c>
      <c r="Q191" s="13">
        <f t="shared" si="39"/>
        <v>0.6</v>
      </c>
      <c r="R191" s="11">
        <f t="shared" si="54"/>
        <v>0</v>
      </c>
      <c r="S191" s="10"/>
      <c r="T191" s="58">
        <f t="shared" si="59"/>
        <v>15300</v>
      </c>
      <c r="U191" s="13">
        <f t="shared" si="55"/>
        <v>0.8</v>
      </c>
      <c r="V191" s="11">
        <f t="shared" si="56"/>
        <v>0</v>
      </c>
      <c r="W191" s="10"/>
      <c r="X191" s="58">
        <f t="shared" si="60"/>
        <v>17425</v>
      </c>
      <c r="Y191" s="13">
        <f t="shared" si="57"/>
        <v>1.05</v>
      </c>
      <c r="Z191" s="11">
        <f t="shared" si="58"/>
        <v>0</v>
      </c>
      <c r="AA191" s="10" t="s">
        <v>709</v>
      </c>
      <c r="AB191" s="10" t="s">
        <v>710</v>
      </c>
      <c r="AC191" s="2" t="s">
        <v>711</v>
      </c>
    </row>
    <row r="192" spans="1:29" x14ac:dyDescent="0.3">
      <c r="A192" s="37">
        <v>548</v>
      </c>
      <c r="B192" s="37"/>
      <c r="C192" s="37">
        <v>5</v>
      </c>
      <c r="D192" s="37"/>
      <c r="E192" s="44">
        <v>8800</v>
      </c>
      <c r="F192" s="38">
        <f t="shared" si="47"/>
        <v>0</v>
      </c>
      <c r="G192" s="37"/>
      <c r="H192" s="38">
        <f t="shared" si="48"/>
        <v>0</v>
      </c>
      <c r="I192" s="67">
        <v>56</v>
      </c>
      <c r="J192" s="37" t="s">
        <v>688</v>
      </c>
      <c r="K192" s="37" t="s">
        <v>1960</v>
      </c>
      <c r="L192" s="37"/>
      <c r="M192" s="37"/>
      <c r="N192" s="36" t="s">
        <v>702</v>
      </c>
      <c r="O192" s="37"/>
      <c r="P192" s="44">
        <v>14000</v>
      </c>
      <c r="Q192" s="45">
        <f t="shared" si="39"/>
        <v>0.59090909090909094</v>
      </c>
      <c r="R192" s="46">
        <f t="shared" si="54"/>
        <v>0</v>
      </c>
      <c r="S192" s="37"/>
      <c r="T192" s="44">
        <f t="shared" si="59"/>
        <v>15840</v>
      </c>
      <c r="U192" s="45">
        <f t="shared" si="55"/>
        <v>0.8</v>
      </c>
      <c r="V192" s="38">
        <f t="shared" si="56"/>
        <v>0</v>
      </c>
      <c r="W192" s="37"/>
      <c r="X192" s="44">
        <f t="shared" si="60"/>
        <v>18040</v>
      </c>
      <c r="Y192" s="45">
        <f t="shared" si="57"/>
        <v>1.05</v>
      </c>
      <c r="Z192" s="38">
        <f t="shared" si="58"/>
        <v>0</v>
      </c>
      <c r="AA192" s="37" t="s">
        <v>703</v>
      </c>
      <c r="AB192" s="37" t="s">
        <v>704</v>
      </c>
      <c r="AC192" s="37"/>
    </row>
    <row r="193" spans="1:29" x14ac:dyDescent="0.3">
      <c r="A193" s="37">
        <v>549</v>
      </c>
      <c r="B193" s="37"/>
      <c r="C193" s="37">
        <v>5</v>
      </c>
      <c r="D193" s="37"/>
      <c r="E193" s="44">
        <v>8800</v>
      </c>
      <c r="F193" s="38">
        <f t="shared" si="47"/>
        <v>0</v>
      </c>
      <c r="G193" s="37"/>
      <c r="H193" s="38">
        <f t="shared" si="48"/>
        <v>0</v>
      </c>
      <c r="I193" s="66">
        <v>57</v>
      </c>
      <c r="J193" s="37" t="s">
        <v>688</v>
      </c>
      <c r="K193" s="37" t="s">
        <v>1960</v>
      </c>
      <c r="L193" s="37"/>
      <c r="M193" s="37"/>
      <c r="N193" s="36" t="s">
        <v>705</v>
      </c>
      <c r="O193" s="37"/>
      <c r="P193" s="44">
        <v>14000</v>
      </c>
      <c r="Q193" s="45">
        <f t="shared" si="39"/>
        <v>0.59090909090909094</v>
      </c>
      <c r="R193" s="46">
        <f t="shared" si="54"/>
        <v>0</v>
      </c>
      <c r="S193" s="37"/>
      <c r="T193" s="44">
        <f t="shared" si="59"/>
        <v>15840</v>
      </c>
      <c r="U193" s="45">
        <f t="shared" si="55"/>
        <v>0.8</v>
      </c>
      <c r="V193" s="38">
        <f t="shared" si="56"/>
        <v>0</v>
      </c>
      <c r="W193" s="37"/>
      <c r="X193" s="44">
        <f t="shared" si="60"/>
        <v>18040</v>
      </c>
      <c r="Y193" s="45">
        <f t="shared" si="57"/>
        <v>1.05</v>
      </c>
      <c r="Z193" s="38">
        <f t="shared" si="58"/>
        <v>0</v>
      </c>
      <c r="AA193" s="37" t="s">
        <v>706</v>
      </c>
      <c r="AB193" s="37" t="s">
        <v>707</v>
      </c>
      <c r="AC193" s="37"/>
    </row>
    <row r="194" spans="1:29" x14ac:dyDescent="0.3">
      <c r="A194" s="37">
        <v>550</v>
      </c>
      <c r="B194" s="37"/>
      <c r="C194" s="37">
        <v>5</v>
      </c>
      <c r="D194" s="37"/>
      <c r="E194" s="44">
        <v>14900</v>
      </c>
      <c r="F194" s="38">
        <f t="shared" si="47"/>
        <v>0</v>
      </c>
      <c r="G194" s="37"/>
      <c r="H194" s="38">
        <f t="shared" si="48"/>
        <v>0</v>
      </c>
      <c r="I194" s="67">
        <v>58</v>
      </c>
      <c r="J194" s="37" t="s">
        <v>688</v>
      </c>
      <c r="K194" s="37" t="s">
        <v>1960</v>
      </c>
      <c r="L194" s="37"/>
      <c r="M194" s="37"/>
      <c r="N194" s="36" t="s">
        <v>716</v>
      </c>
      <c r="O194" s="37"/>
      <c r="P194" s="44">
        <v>23800</v>
      </c>
      <c r="Q194" s="45">
        <f t="shared" ref="Q194:Q257" si="61">(P194-E194)/E194</f>
        <v>0.59731543624161076</v>
      </c>
      <c r="R194" s="46">
        <f t="shared" si="54"/>
        <v>0</v>
      </c>
      <c r="S194" s="37"/>
      <c r="T194" s="44">
        <f t="shared" si="59"/>
        <v>26820</v>
      </c>
      <c r="U194" s="45">
        <f t="shared" si="55"/>
        <v>0.8</v>
      </c>
      <c r="V194" s="38">
        <f t="shared" si="56"/>
        <v>0</v>
      </c>
      <c r="W194" s="37"/>
      <c r="X194" s="44">
        <f t="shared" si="60"/>
        <v>30544.999999999996</v>
      </c>
      <c r="Y194" s="45">
        <f t="shared" si="57"/>
        <v>1.0499999999999998</v>
      </c>
      <c r="Z194" s="38">
        <f t="shared" si="58"/>
        <v>0</v>
      </c>
      <c r="AA194" s="37" t="s">
        <v>717</v>
      </c>
      <c r="AB194" s="37" t="s">
        <v>718</v>
      </c>
      <c r="AC194" s="37"/>
    </row>
    <row r="195" spans="1:29" x14ac:dyDescent="0.3">
      <c r="A195" s="10">
        <v>367</v>
      </c>
      <c r="B195" s="2"/>
      <c r="C195" s="2">
        <v>1</v>
      </c>
      <c r="D195" s="10"/>
      <c r="E195" s="40">
        <v>12500</v>
      </c>
      <c r="F195" s="11">
        <f t="shared" si="47"/>
        <v>0</v>
      </c>
      <c r="G195" s="10"/>
      <c r="H195" s="11">
        <f t="shared" si="48"/>
        <v>0</v>
      </c>
      <c r="I195" s="66">
        <v>59</v>
      </c>
      <c r="J195" s="10" t="s">
        <v>688</v>
      </c>
      <c r="K195" s="10"/>
      <c r="L195" s="10"/>
      <c r="M195" s="10"/>
      <c r="N195" s="12" t="s">
        <v>712</v>
      </c>
      <c r="O195" s="10"/>
      <c r="P195" s="58">
        <v>20000</v>
      </c>
      <c r="Q195" s="13">
        <f t="shared" si="61"/>
        <v>0.6</v>
      </c>
      <c r="R195" s="11">
        <f t="shared" si="54"/>
        <v>0</v>
      </c>
      <c r="S195" s="10"/>
      <c r="T195" s="58">
        <f t="shared" si="59"/>
        <v>22500</v>
      </c>
      <c r="U195" s="13">
        <f t="shared" si="55"/>
        <v>0.8</v>
      </c>
      <c r="V195" s="11">
        <f t="shared" si="56"/>
        <v>0</v>
      </c>
      <c r="W195" s="10"/>
      <c r="X195" s="58">
        <f t="shared" si="60"/>
        <v>25624.999999999996</v>
      </c>
      <c r="Y195" s="13">
        <f t="shared" si="57"/>
        <v>1.0499999999999996</v>
      </c>
      <c r="Z195" s="11">
        <f t="shared" si="58"/>
        <v>0</v>
      </c>
      <c r="AA195" s="10" t="s">
        <v>713</v>
      </c>
      <c r="AB195" s="10" t="s">
        <v>714</v>
      </c>
      <c r="AC195" s="2" t="s">
        <v>715</v>
      </c>
    </row>
    <row r="196" spans="1:29" x14ac:dyDescent="0.3">
      <c r="A196" s="10">
        <v>346</v>
      </c>
      <c r="B196" s="2"/>
      <c r="C196" s="2">
        <v>1</v>
      </c>
      <c r="D196" s="10"/>
      <c r="E196" s="40">
        <v>18999</v>
      </c>
      <c r="F196" s="11">
        <f t="shared" si="47"/>
        <v>0</v>
      </c>
      <c r="G196" s="10"/>
      <c r="H196" s="11">
        <f t="shared" si="48"/>
        <v>0</v>
      </c>
      <c r="I196" s="67">
        <v>60</v>
      </c>
      <c r="J196" s="10" t="s">
        <v>688</v>
      </c>
      <c r="K196" s="10"/>
      <c r="L196" s="10"/>
      <c r="M196" s="10"/>
      <c r="N196" s="12" t="s">
        <v>732</v>
      </c>
      <c r="O196" s="10"/>
      <c r="P196" s="58">
        <v>30300</v>
      </c>
      <c r="Q196" s="13">
        <f t="shared" si="61"/>
        <v>0.59482078004105476</v>
      </c>
      <c r="R196" s="11">
        <f t="shared" si="54"/>
        <v>0</v>
      </c>
      <c r="S196" s="10"/>
      <c r="T196" s="58">
        <f t="shared" si="59"/>
        <v>34198.200000000004</v>
      </c>
      <c r="U196" s="13">
        <f t="shared" si="55"/>
        <v>0.80000000000000027</v>
      </c>
      <c r="V196" s="11">
        <f t="shared" si="56"/>
        <v>0</v>
      </c>
      <c r="W196" s="10"/>
      <c r="X196" s="58">
        <f t="shared" si="60"/>
        <v>38947.949999999997</v>
      </c>
      <c r="Y196" s="13">
        <f t="shared" si="57"/>
        <v>1.0499999999999998</v>
      </c>
      <c r="Z196" s="11">
        <f t="shared" si="58"/>
        <v>0</v>
      </c>
      <c r="AA196" s="10" t="s">
        <v>733</v>
      </c>
      <c r="AB196" s="10" t="s">
        <v>734</v>
      </c>
      <c r="AC196" s="2" t="s">
        <v>735</v>
      </c>
    </row>
    <row r="197" spans="1:29" x14ac:dyDescent="0.3">
      <c r="A197" s="37">
        <v>547</v>
      </c>
      <c r="B197" s="37"/>
      <c r="C197" s="37">
        <v>5</v>
      </c>
      <c r="D197" s="37"/>
      <c r="E197" s="44">
        <v>22500</v>
      </c>
      <c r="F197" s="38">
        <f t="shared" si="47"/>
        <v>0</v>
      </c>
      <c r="G197" s="37"/>
      <c r="H197" s="38">
        <f t="shared" si="48"/>
        <v>0</v>
      </c>
      <c r="I197" s="66">
        <v>61</v>
      </c>
      <c r="J197" s="37" t="s">
        <v>688</v>
      </c>
      <c r="K197" s="37" t="s">
        <v>1960</v>
      </c>
      <c r="L197" s="37"/>
      <c r="M197" s="37"/>
      <c r="N197" s="36" t="s">
        <v>729</v>
      </c>
      <c r="O197" s="37"/>
      <c r="P197" s="44">
        <v>34000</v>
      </c>
      <c r="Q197" s="45">
        <f t="shared" si="61"/>
        <v>0.51111111111111107</v>
      </c>
      <c r="R197" s="46">
        <f t="shared" si="54"/>
        <v>0</v>
      </c>
      <c r="S197" s="37"/>
      <c r="T197" s="44">
        <f t="shared" si="59"/>
        <v>40500</v>
      </c>
      <c r="U197" s="45">
        <f t="shared" si="55"/>
        <v>0.8</v>
      </c>
      <c r="V197" s="38">
        <f t="shared" si="56"/>
        <v>0</v>
      </c>
      <c r="W197" s="37"/>
      <c r="X197" s="44">
        <f t="shared" si="60"/>
        <v>46124.999999999993</v>
      </c>
      <c r="Y197" s="45">
        <f t="shared" si="57"/>
        <v>1.0499999999999996</v>
      </c>
      <c r="Z197" s="38">
        <f t="shared" si="58"/>
        <v>0</v>
      </c>
      <c r="AA197" s="37" t="s">
        <v>730</v>
      </c>
      <c r="AB197" s="37" t="s">
        <v>731</v>
      </c>
      <c r="AC197" s="37"/>
    </row>
    <row r="198" spans="1:29" x14ac:dyDescent="0.3">
      <c r="A198" s="10">
        <v>364</v>
      </c>
      <c r="B198" s="2"/>
      <c r="C198" s="2">
        <v>1</v>
      </c>
      <c r="D198" s="10"/>
      <c r="E198" s="40">
        <v>21900</v>
      </c>
      <c r="F198" s="11">
        <f t="shared" si="47"/>
        <v>0</v>
      </c>
      <c r="G198" s="10"/>
      <c r="H198" s="11">
        <f t="shared" si="48"/>
        <v>0</v>
      </c>
      <c r="I198" s="67">
        <v>62</v>
      </c>
      <c r="J198" s="10" t="s">
        <v>688</v>
      </c>
      <c r="K198" s="10"/>
      <c r="L198" s="10"/>
      <c r="M198" s="10"/>
      <c r="N198" s="12" t="s">
        <v>719</v>
      </c>
      <c r="O198" s="10"/>
      <c r="P198" s="58">
        <v>35000</v>
      </c>
      <c r="Q198" s="13">
        <f t="shared" si="61"/>
        <v>0.59817351598173518</v>
      </c>
      <c r="R198" s="11">
        <f t="shared" si="54"/>
        <v>0</v>
      </c>
      <c r="S198" s="10"/>
      <c r="T198" s="58">
        <f t="shared" si="59"/>
        <v>39420</v>
      </c>
      <c r="U198" s="13">
        <f t="shared" si="55"/>
        <v>0.8</v>
      </c>
      <c r="V198" s="11">
        <f t="shared" si="56"/>
        <v>0</v>
      </c>
      <c r="W198" s="10"/>
      <c r="X198" s="58">
        <f t="shared" si="60"/>
        <v>44894.999999999993</v>
      </c>
      <c r="Y198" s="13">
        <f t="shared" si="57"/>
        <v>1.0499999999999996</v>
      </c>
      <c r="Z198" s="11">
        <f t="shared" si="58"/>
        <v>0</v>
      </c>
      <c r="AA198" s="10" t="s">
        <v>720</v>
      </c>
      <c r="AB198" s="10" t="s">
        <v>721</v>
      </c>
      <c r="AC198" s="2" t="s">
        <v>722</v>
      </c>
    </row>
    <row r="199" spans="1:29" x14ac:dyDescent="0.3">
      <c r="A199" s="37">
        <v>553</v>
      </c>
      <c r="B199" s="37"/>
      <c r="C199" s="37">
        <v>5</v>
      </c>
      <c r="D199" s="37"/>
      <c r="E199" s="44">
        <v>23800</v>
      </c>
      <c r="F199" s="38">
        <f t="shared" si="47"/>
        <v>0</v>
      </c>
      <c r="G199" s="37"/>
      <c r="H199" s="38">
        <f t="shared" si="48"/>
        <v>0</v>
      </c>
      <c r="I199" s="66">
        <v>63</v>
      </c>
      <c r="J199" s="37" t="s">
        <v>688</v>
      </c>
      <c r="K199" s="37" t="s">
        <v>1960</v>
      </c>
      <c r="L199" s="37"/>
      <c r="M199" s="37"/>
      <c r="N199" s="36" t="s">
        <v>726</v>
      </c>
      <c r="O199" s="37"/>
      <c r="P199" s="44">
        <v>38000</v>
      </c>
      <c r="Q199" s="45">
        <f t="shared" si="61"/>
        <v>0.59663865546218486</v>
      </c>
      <c r="R199" s="46">
        <f t="shared" si="54"/>
        <v>0</v>
      </c>
      <c r="S199" s="37"/>
      <c r="T199" s="44">
        <f t="shared" si="59"/>
        <v>42840</v>
      </c>
      <c r="U199" s="45">
        <f t="shared" si="55"/>
        <v>0.8</v>
      </c>
      <c r="V199" s="38">
        <f t="shared" si="56"/>
        <v>0</v>
      </c>
      <c r="W199" s="37"/>
      <c r="X199" s="44">
        <f t="shared" si="60"/>
        <v>48789.999999999993</v>
      </c>
      <c r="Y199" s="45">
        <f t="shared" si="57"/>
        <v>1.0499999999999996</v>
      </c>
      <c r="Z199" s="38">
        <f t="shared" si="58"/>
        <v>0</v>
      </c>
      <c r="AA199" s="37" t="s">
        <v>727</v>
      </c>
      <c r="AB199" s="37" t="s">
        <v>728</v>
      </c>
      <c r="AC199" s="37"/>
    </row>
    <row r="200" spans="1:29" x14ac:dyDescent="0.3">
      <c r="A200" s="37">
        <v>556</v>
      </c>
      <c r="B200" s="37"/>
      <c r="C200" s="37">
        <v>5</v>
      </c>
      <c r="D200" s="37"/>
      <c r="E200" s="44">
        <v>32500</v>
      </c>
      <c r="F200" s="38">
        <f t="shared" si="47"/>
        <v>0</v>
      </c>
      <c r="G200" s="37"/>
      <c r="H200" s="38">
        <f t="shared" si="48"/>
        <v>0</v>
      </c>
      <c r="I200" s="67">
        <v>64</v>
      </c>
      <c r="J200" s="37" t="s">
        <v>688</v>
      </c>
      <c r="K200" s="37" t="s">
        <v>1960</v>
      </c>
      <c r="L200" s="37"/>
      <c r="M200" s="37"/>
      <c r="N200" s="36" t="s">
        <v>736</v>
      </c>
      <c r="O200" s="37"/>
      <c r="P200" s="44">
        <v>52000</v>
      </c>
      <c r="Q200" s="45">
        <f t="shared" si="61"/>
        <v>0.6</v>
      </c>
      <c r="R200" s="46">
        <f t="shared" si="54"/>
        <v>0</v>
      </c>
      <c r="S200" s="37"/>
      <c r="T200" s="44">
        <f t="shared" si="59"/>
        <v>58500</v>
      </c>
      <c r="U200" s="45">
        <f t="shared" si="55"/>
        <v>0.8</v>
      </c>
      <c r="V200" s="38">
        <f t="shared" si="56"/>
        <v>0</v>
      </c>
      <c r="W200" s="37"/>
      <c r="X200" s="44">
        <f t="shared" si="60"/>
        <v>66625</v>
      </c>
      <c r="Y200" s="45">
        <f t="shared" si="57"/>
        <v>1.05</v>
      </c>
      <c r="Z200" s="38">
        <f t="shared" si="58"/>
        <v>0</v>
      </c>
      <c r="AA200" s="37" t="s">
        <v>737</v>
      </c>
      <c r="AB200" s="37" t="s">
        <v>738</v>
      </c>
      <c r="AC200" s="37"/>
    </row>
    <row r="201" spans="1:29" x14ac:dyDescent="0.3">
      <c r="A201" s="37">
        <v>557</v>
      </c>
      <c r="B201" s="37"/>
      <c r="C201" s="37">
        <v>5</v>
      </c>
      <c r="D201" s="37"/>
      <c r="E201" s="44">
        <v>81500</v>
      </c>
      <c r="F201" s="38">
        <f t="shared" ref="F201:F264" si="62">D201*E201</f>
        <v>0</v>
      </c>
      <c r="G201" s="37"/>
      <c r="H201" s="38">
        <f t="shared" ref="H201:H264" si="63">E201*G201</f>
        <v>0</v>
      </c>
      <c r="I201" s="66">
        <v>65</v>
      </c>
      <c r="J201" s="37" t="s">
        <v>688</v>
      </c>
      <c r="K201" s="37" t="s">
        <v>1960</v>
      </c>
      <c r="L201" s="37"/>
      <c r="M201" s="37"/>
      <c r="N201" s="36" t="s">
        <v>742</v>
      </c>
      <c r="O201" s="37"/>
      <c r="P201" s="44">
        <v>130400</v>
      </c>
      <c r="Q201" s="45">
        <f t="shared" si="61"/>
        <v>0.6</v>
      </c>
      <c r="R201" s="46">
        <f t="shared" ref="R201:R224" si="64">O201*P201</f>
        <v>0</v>
      </c>
      <c r="S201" s="37"/>
      <c r="T201" s="44">
        <f t="shared" si="59"/>
        <v>146700</v>
      </c>
      <c r="U201" s="45">
        <f t="shared" si="55"/>
        <v>0.8</v>
      </c>
      <c r="V201" s="38">
        <f t="shared" si="56"/>
        <v>0</v>
      </c>
      <c r="W201" s="37"/>
      <c r="X201" s="44">
        <f t="shared" si="60"/>
        <v>167075</v>
      </c>
      <c r="Y201" s="45">
        <f t="shared" si="57"/>
        <v>1.05</v>
      </c>
      <c r="Z201" s="38">
        <f t="shared" si="58"/>
        <v>0</v>
      </c>
      <c r="AA201" s="37" t="s">
        <v>743</v>
      </c>
      <c r="AB201" s="37" t="s">
        <v>744</v>
      </c>
      <c r="AC201" s="37"/>
    </row>
    <row r="202" spans="1:29" x14ac:dyDescent="0.3">
      <c r="A202" s="37">
        <v>559</v>
      </c>
      <c r="B202" s="37"/>
      <c r="C202" s="37">
        <v>5</v>
      </c>
      <c r="D202" s="37"/>
      <c r="E202" s="44">
        <v>81500</v>
      </c>
      <c r="F202" s="38">
        <f t="shared" si="62"/>
        <v>0</v>
      </c>
      <c r="G202" s="37"/>
      <c r="H202" s="38">
        <f t="shared" si="63"/>
        <v>0</v>
      </c>
      <c r="I202" s="67">
        <v>66</v>
      </c>
      <c r="J202" s="37" t="s">
        <v>688</v>
      </c>
      <c r="K202" s="37" t="s">
        <v>1960</v>
      </c>
      <c r="L202" s="37"/>
      <c r="M202" s="37"/>
      <c r="N202" s="36" t="s">
        <v>745</v>
      </c>
      <c r="O202" s="37"/>
      <c r="P202" s="44">
        <v>130400</v>
      </c>
      <c r="Q202" s="45">
        <f t="shared" si="61"/>
        <v>0.6</v>
      </c>
      <c r="R202" s="46">
        <f t="shared" si="64"/>
        <v>0</v>
      </c>
      <c r="S202" s="37"/>
      <c r="T202" s="44">
        <f t="shared" si="59"/>
        <v>146700</v>
      </c>
      <c r="U202" s="45">
        <f t="shared" si="55"/>
        <v>0.8</v>
      </c>
      <c r="V202" s="38">
        <f t="shared" si="56"/>
        <v>0</v>
      </c>
      <c r="W202" s="37"/>
      <c r="X202" s="44">
        <f t="shared" si="60"/>
        <v>167075</v>
      </c>
      <c r="Y202" s="45">
        <f t="shared" si="57"/>
        <v>1.05</v>
      </c>
      <c r="Z202" s="38">
        <f t="shared" si="58"/>
        <v>0</v>
      </c>
      <c r="AA202" s="37" t="s">
        <v>746</v>
      </c>
      <c r="AB202" s="37" t="s">
        <v>747</v>
      </c>
      <c r="AC202" s="37"/>
    </row>
    <row r="203" spans="1:29" x14ac:dyDescent="0.3">
      <c r="A203" s="37">
        <v>558</v>
      </c>
      <c r="B203" s="37"/>
      <c r="C203" s="37">
        <v>5</v>
      </c>
      <c r="D203" s="37"/>
      <c r="E203" s="44">
        <v>89000</v>
      </c>
      <c r="F203" s="38">
        <f t="shared" si="62"/>
        <v>0</v>
      </c>
      <c r="G203" s="37"/>
      <c r="H203" s="38">
        <f t="shared" si="63"/>
        <v>0</v>
      </c>
      <c r="I203" s="66">
        <v>67</v>
      </c>
      <c r="J203" s="37" t="s">
        <v>688</v>
      </c>
      <c r="K203" s="37" t="s">
        <v>1960</v>
      </c>
      <c r="L203" s="37"/>
      <c r="M203" s="37"/>
      <c r="N203" s="36" t="s">
        <v>748</v>
      </c>
      <c r="O203" s="37"/>
      <c r="P203" s="44">
        <v>142400</v>
      </c>
      <c r="Q203" s="45">
        <f t="shared" si="61"/>
        <v>0.6</v>
      </c>
      <c r="R203" s="46">
        <f t="shared" si="64"/>
        <v>0</v>
      </c>
      <c r="S203" s="37"/>
      <c r="T203" s="44">
        <f t="shared" si="59"/>
        <v>160200</v>
      </c>
      <c r="U203" s="45">
        <f t="shared" si="55"/>
        <v>0.8</v>
      </c>
      <c r="V203" s="38">
        <f t="shared" si="56"/>
        <v>0</v>
      </c>
      <c r="W203" s="37"/>
      <c r="X203" s="44">
        <f t="shared" si="60"/>
        <v>182449.99999999997</v>
      </c>
      <c r="Y203" s="45">
        <f t="shared" si="57"/>
        <v>1.0499999999999996</v>
      </c>
      <c r="Z203" s="38">
        <f t="shared" si="58"/>
        <v>0</v>
      </c>
      <c r="AA203" s="37" t="s">
        <v>749</v>
      </c>
      <c r="AB203" s="37" t="s">
        <v>750</v>
      </c>
      <c r="AC203" s="37"/>
    </row>
    <row r="204" spans="1:29" x14ac:dyDescent="0.3">
      <c r="A204" s="10">
        <v>356</v>
      </c>
      <c r="B204" s="2"/>
      <c r="C204" s="2">
        <v>1</v>
      </c>
      <c r="D204" s="10"/>
      <c r="E204" s="40">
        <v>94500</v>
      </c>
      <c r="F204" s="11">
        <f t="shared" si="62"/>
        <v>0</v>
      </c>
      <c r="G204" s="10"/>
      <c r="H204" s="11">
        <f t="shared" si="63"/>
        <v>0</v>
      </c>
      <c r="I204" s="67">
        <v>68</v>
      </c>
      <c r="J204" s="10" t="s">
        <v>688</v>
      </c>
      <c r="K204" s="10"/>
      <c r="L204" s="10"/>
      <c r="M204" s="10"/>
      <c r="N204" s="12" t="s">
        <v>751</v>
      </c>
      <c r="O204" s="10"/>
      <c r="P204" s="58">
        <v>151200</v>
      </c>
      <c r="Q204" s="13">
        <f t="shared" si="61"/>
        <v>0.6</v>
      </c>
      <c r="R204" s="11">
        <f t="shared" si="64"/>
        <v>0</v>
      </c>
      <c r="S204" s="10"/>
      <c r="T204" s="58">
        <f t="shared" si="59"/>
        <v>170100</v>
      </c>
      <c r="U204" s="13">
        <f t="shared" si="55"/>
        <v>0.8</v>
      </c>
      <c r="V204" s="11">
        <f t="shared" si="56"/>
        <v>0</v>
      </c>
      <c r="W204" s="10"/>
      <c r="X204" s="58">
        <f t="shared" si="60"/>
        <v>193724.99999999997</v>
      </c>
      <c r="Y204" s="13">
        <f t="shared" si="57"/>
        <v>1.0499999999999996</v>
      </c>
      <c r="Z204" s="11">
        <f t="shared" si="58"/>
        <v>0</v>
      </c>
      <c r="AA204" s="10" t="s">
        <v>752</v>
      </c>
      <c r="AB204" s="10" t="s">
        <v>753</v>
      </c>
      <c r="AC204" s="2" t="s">
        <v>754</v>
      </c>
    </row>
    <row r="205" spans="1:29" x14ac:dyDescent="0.3">
      <c r="A205" s="37">
        <v>551</v>
      </c>
      <c r="B205" s="37"/>
      <c r="C205" s="37">
        <v>5</v>
      </c>
      <c r="D205" s="37"/>
      <c r="E205" s="44">
        <v>98500</v>
      </c>
      <c r="F205" s="38">
        <f t="shared" si="62"/>
        <v>0</v>
      </c>
      <c r="G205" s="37"/>
      <c r="H205" s="38">
        <f t="shared" si="63"/>
        <v>0</v>
      </c>
      <c r="I205" s="66">
        <v>69</v>
      </c>
      <c r="J205" s="37" t="s">
        <v>688</v>
      </c>
      <c r="K205" s="37" t="s">
        <v>1960</v>
      </c>
      <c r="L205" s="37"/>
      <c r="M205" s="37"/>
      <c r="N205" s="36" t="s">
        <v>755</v>
      </c>
      <c r="O205" s="37"/>
      <c r="P205" s="44">
        <v>157600</v>
      </c>
      <c r="Q205" s="45">
        <f t="shared" si="61"/>
        <v>0.6</v>
      </c>
      <c r="R205" s="46">
        <f t="shared" si="64"/>
        <v>0</v>
      </c>
      <c r="S205" s="37"/>
      <c r="T205" s="44">
        <f t="shared" si="59"/>
        <v>177300</v>
      </c>
      <c r="U205" s="45">
        <f t="shared" si="55"/>
        <v>0.8</v>
      </c>
      <c r="V205" s="38">
        <f t="shared" si="56"/>
        <v>0</v>
      </c>
      <c r="W205" s="37"/>
      <c r="X205" s="44">
        <f t="shared" si="60"/>
        <v>201924.99999999997</v>
      </c>
      <c r="Y205" s="45">
        <f t="shared" si="57"/>
        <v>1.0499999999999996</v>
      </c>
      <c r="Z205" s="38">
        <f t="shared" si="58"/>
        <v>0</v>
      </c>
      <c r="AA205" s="37" t="s">
        <v>756</v>
      </c>
      <c r="AB205" s="37" t="s">
        <v>757</v>
      </c>
      <c r="AC205" s="37"/>
    </row>
    <row r="206" spans="1:29" x14ac:dyDescent="0.3">
      <c r="A206" s="37">
        <v>545</v>
      </c>
      <c r="B206" s="37"/>
      <c r="C206" s="37">
        <v>5</v>
      </c>
      <c r="D206" s="37"/>
      <c r="E206" s="44">
        <v>125000</v>
      </c>
      <c r="F206" s="38">
        <f t="shared" si="62"/>
        <v>0</v>
      </c>
      <c r="G206" s="37"/>
      <c r="H206" s="38">
        <f t="shared" si="63"/>
        <v>0</v>
      </c>
      <c r="I206" s="67">
        <v>70</v>
      </c>
      <c r="J206" s="37" t="s">
        <v>688</v>
      </c>
      <c r="K206" s="37" t="s">
        <v>1960</v>
      </c>
      <c r="L206" s="37"/>
      <c r="M206" s="37"/>
      <c r="N206" s="36" t="s">
        <v>758</v>
      </c>
      <c r="O206" s="37"/>
      <c r="P206" s="44">
        <v>200000</v>
      </c>
      <c r="Q206" s="45">
        <f t="shared" si="61"/>
        <v>0.6</v>
      </c>
      <c r="R206" s="46">
        <f t="shared" si="64"/>
        <v>0</v>
      </c>
      <c r="S206" s="37"/>
      <c r="T206" s="44">
        <f t="shared" si="59"/>
        <v>225000</v>
      </c>
      <c r="U206" s="45">
        <f t="shared" si="55"/>
        <v>0.8</v>
      </c>
      <c r="V206" s="38">
        <f t="shared" si="56"/>
        <v>0</v>
      </c>
      <c r="W206" s="37"/>
      <c r="X206" s="44">
        <f t="shared" si="60"/>
        <v>256249.99999999997</v>
      </c>
      <c r="Y206" s="45">
        <f t="shared" si="57"/>
        <v>1.0499999999999998</v>
      </c>
      <c r="Z206" s="38">
        <f t="shared" si="58"/>
        <v>0</v>
      </c>
      <c r="AA206" s="37" t="s">
        <v>759</v>
      </c>
      <c r="AB206" s="37" t="s">
        <v>760</v>
      </c>
      <c r="AC206" s="37"/>
    </row>
    <row r="207" spans="1:29" x14ac:dyDescent="0.3">
      <c r="A207" s="37">
        <v>552</v>
      </c>
      <c r="B207" s="37"/>
      <c r="C207" s="37">
        <v>5</v>
      </c>
      <c r="D207" s="37"/>
      <c r="E207" s="44">
        <v>145000</v>
      </c>
      <c r="F207" s="38">
        <f t="shared" si="62"/>
        <v>0</v>
      </c>
      <c r="G207" s="37"/>
      <c r="H207" s="38">
        <f t="shared" si="63"/>
        <v>0</v>
      </c>
      <c r="I207" s="66">
        <v>71</v>
      </c>
      <c r="J207" s="37" t="s">
        <v>688</v>
      </c>
      <c r="K207" s="37" t="s">
        <v>1960</v>
      </c>
      <c r="L207" s="37"/>
      <c r="M207" s="37"/>
      <c r="N207" s="36" t="s">
        <v>761</v>
      </c>
      <c r="O207" s="37"/>
      <c r="P207" s="44">
        <v>232000</v>
      </c>
      <c r="Q207" s="45">
        <f t="shared" si="61"/>
        <v>0.6</v>
      </c>
      <c r="R207" s="46">
        <f t="shared" si="64"/>
        <v>0</v>
      </c>
      <c r="S207" s="37"/>
      <c r="T207" s="44">
        <f t="shared" si="59"/>
        <v>261000</v>
      </c>
      <c r="U207" s="45">
        <f t="shared" si="55"/>
        <v>0.8</v>
      </c>
      <c r="V207" s="38">
        <f t="shared" si="56"/>
        <v>0</v>
      </c>
      <c r="W207" s="37"/>
      <c r="X207" s="44">
        <f t="shared" si="60"/>
        <v>297250</v>
      </c>
      <c r="Y207" s="45">
        <f t="shared" si="57"/>
        <v>1.05</v>
      </c>
      <c r="Z207" s="38">
        <f t="shared" si="58"/>
        <v>0</v>
      </c>
      <c r="AA207" s="37" t="s">
        <v>762</v>
      </c>
      <c r="AB207" s="37" t="s">
        <v>763</v>
      </c>
      <c r="AC207" s="37"/>
    </row>
    <row r="208" spans="1:29" x14ac:dyDescent="0.3">
      <c r="A208" s="37">
        <v>562</v>
      </c>
      <c r="B208" s="37"/>
      <c r="C208" s="37">
        <v>5</v>
      </c>
      <c r="D208" s="37"/>
      <c r="E208" s="44">
        <v>295000</v>
      </c>
      <c r="F208" s="38">
        <f t="shared" si="62"/>
        <v>0</v>
      </c>
      <c r="G208" s="37"/>
      <c r="H208" s="38">
        <f t="shared" si="63"/>
        <v>0</v>
      </c>
      <c r="I208" s="67">
        <v>72</v>
      </c>
      <c r="J208" s="37" t="s">
        <v>688</v>
      </c>
      <c r="K208" s="37" t="s">
        <v>1960</v>
      </c>
      <c r="L208" s="37"/>
      <c r="M208" s="37"/>
      <c r="N208" s="36" t="s">
        <v>764</v>
      </c>
      <c r="O208" s="37"/>
      <c r="P208" s="44">
        <v>472000</v>
      </c>
      <c r="Q208" s="45">
        <f t="shared" si="61"/>
        <v>0.6</v>
      </c>
      <c r="R208" s="46">
        <f t="shared" si="64"/>
        <v>0</v>
      </c>
      <c r="S208" s="37"/>
      <c r="T208" s="44">
        <f t="shared" si="59"/>
        <v>531000</v>
      </c>
      <c r="U208" s="45">
        <f t="shared" si="55"/>
        <v>0.8</v>
      </c>
      <c r="V208" s="38">
        <f t="shared" si="56"/>
        <v>0</v>
      </c>
      <c r="W208" s="37"/>
      <c r="X208" s="44">
        <f t="shared" si="60"/>
        <v>604750</v>
      </c>
      <c r="Y208" s="45">
        <f t="shared" si="57"/>
        <v>1.05</v>
      </c>
      <c r="Z208" s="38">
        <f t="shared" si="58"/>
        <v>0</v>
      </c>
      <c r="AA208" s="37" t="s">
        <v>765</v>
      </c>
      <c r="AB208" s="37" t="s">
        <v>766</v>
      </c>
      <c r="AC208" s="37"/>
    </row>
    <row r="209" spans="1:29" x14ac:dyDescent="0.3">
      <c r="A209" s="5">
        <v>69</v>
      </c>
      <c r="B209" s="5">
        <v>108</v>
      </c>
      <c r="C209" s="5">
        <v>3</v>
      </c>
      <c r="D209" s="5">
        <v>3</v>
      </c>
      <c r="E209" s="41">
        <v>6995</v>
      </c>
      <c r="F209" s="29">
        <f t="shared" si="62"/>
        <v>20985</v>
      </c>
      <c r="G209" s="5"/>
      <c r="H209" s="29">
        <f t="shared" si="63"/>
        <v>0</v>
      </c>
      <c r="I209" s="66">
        <v>73</v>
      </c>
      <c r="J209" s="5" t="s">
        <v>688</v>
      </c>
      <c r="K209" s="5"/>
      <c r="L209" s="5"/>
      <c r="M209" s="5"/>
      <c r="N209" s="6" t="s">
        <v>767</v>
      </c>
      <c r="O209" s="5">
        <v>3</v>
      </c>
      <c r="P209" s="59">
        <v>11000</v>
      </c>
      <c r="Q209" s="33">
        <f t="shared" si="61"/>
        <v>0.57255182273052185</v>
      </c>
      <c r="R209" s="29">
        <f t="shared" si="64"/>
        <v>33000</v>
      </c>
      <c r="S209" s="5"/>
      <c r="T209" s="41">
        <v>12500</v>
      </c>
      <c r="U209" s="33">
        <f t="shared" si="55"/>
        <v>0.78699070764832024</v>
      </c>
      <c r="V209" s="29">
        <f t="shared" si="56"/>
        <v>0</v>
      </c>
      <c r="W209" s="5"/>
      <c r="X209" s="41">
        <v>15000</v>
      </c>
      <c r="Y209" s="33">
        <f t="shared" si="57"/>
        <v>1.1443888491779843</v>
      </c>
      <c r="Z209" s="29">
        <f t="shared" si="58"/>
        <v>0</v>
      </c>
      <c r="AA209" s="5" t="s">
        <v>768</v>
      </c>
      <c r="AB209" s="5" t="s">
        <v>769</v>
      </c>
      <c r="AC209" s="5" t="s">
        <v>770</v>
      </c>
    </row>
    <row r="210" spans="1:29" x14ac:dyDescent="0.3">
      <c r="A210" s="10">
        <v>368</v>
      </c>
      <c r="B210" s="2"/>
      <c r="C210" s="2">
        <v>1</v>
      </c>
      <c r="D210" s="10"/>
      <c r="E210" s="40">
        <v>21900</v>
      </c>
      <c r="F210" s="11">
        <f t="shared" si="62"/>
        <v>0</v>
      </c>
      <c r="G210" s="10"/>
      <c r="H210" s="11">
        <f t="shared" si="63"/>
        <v>0</v>
      </c>
      <c r="I210" s="67">
        <v>74</v>
      </c>
      <c r="J210" s="10" t="s">
        <v>688</v>
      </c>
      <c r="K210" s="10"/>
      <c r="L210" s="10"/>
      <c r="M210" s="10"/>
      <c r="N210" s="12" t="s">
        <v>771</v>
      </c>
      <c r="O210" s="10"/>
      <c r="P210" s="58">
        <v>35000</v>
      </c>
      <c r="Q210" s="13">
        <f t="shared" si="61"/>
        <v>0.59817351598173518</v>
      </c>
      <c r="R210" s="11">
        <f t="shared" si="64"/>
        <v>0</v>
      </c>
      <c r="S210" s="10"/>
      <c r="T210" s="58">
        <f t="shared" ref="T210:T217" si="65">E210*1.8</f>
        <v>39420</v>
      </c>
      <c r="U210" s="13">
        <f t="shared" si="55"/>
        <v>0.8</v>
      </c>
      <c r="V210" s="11">
        <f t="shared" si="56"/>
        <v>0</v>
      </c>
      <c r="W210" s="10"/>
      <c r="X210" s="58">
        <f t="shared" ref="X210:X217" si="66">E210*2.05</f>
        <v>44894.999999999993</v>
      </c>
      <c r="Y210" s="13">
        <f t="shared" si="57"/>
        <v>1.0499999999999996</v>
      </c>
      <c r="Z210" s="11">
        <f t="shared" si="58"/>
        <v>0</v>
      </c>
      <c r="AA210" s="10" t="s">
        <v>772</v>
      </c>
      <c r="AB210" s="10" t="s">
        <v>773</v>
      </c>
      <c r="AC210" s="2" t="s">
        <v>774</v>
      </c>
    </row>
    <row r="211" spans="1:29" x14ac:dyDescent="0.3">
      <c r="A211" s="37">
        <v>560</v>
      </c>
      <c r="B211" s="37"/>
      <c r="C211" s="37">
        <v>5</v>
      </c>
      <c r="D211" s="37"/>
      <c r="E211" s="44">
        <v>38000</v>
      </c>
      <c r="F211" s="38">
        <f t="shared" si="62"/>
        <v>0</v>
      </c>
      <c r="G211" s="37"/>
      <c r="H211" s="38">
        <f t="shared" si="63"/>
        <v>0</v>
      </c>
      <c r="I211" s="66">
        <v>75</v>
      </c>
      <c r="J211" s="37" t="s">
        <v>688</v>
      </c>
      <c r="K211" s="37" t="s">
        <v>1960</v>
      </c>
      <c r="L211" s="37"/>
      <c r="M211" s="37"/>
      <c r="N211" s="36" t="s">
        <v>739</v>
      </c>
      <c r="O211" s="37"/>
      <c r="P211" s="44">
        <v>60800</v>
      </c>
      <c r="Q211" s="45">
        <f t="shared" si="61"/>
        <v>0.6</v>
      </c>
      <c r="R211" s="46">
        <f t="shared" si="64"/>
        <v>0</v>
      </c>
      <c r="S211" s="37"/>
      <c r="T211" s="44">
        <f t="shared" si="65"/>
        <v>68400</v>
      </c>
      <c r="U211" s="45">
        <f t="shared" si="55"/>
        <v>0.8</v>
      </c>
      <c r="V211" s="38">
        <f t="shared" si="56"/>
        <v>0</v>
      </c>
      <c r="W211" s="37"/>
      <c r="X211" s="44">
        <f t="shared" si="66"/>
        <v>77900</v>
      </c>
      <c r="Y211" s="45">
        <f t="shared" si="57"/>
        <v>1.05</v>
      </c>
      <c r="Z211" s="38">
        <f t="shared" si="58"/>
        <v>0</v>
      </c>
      <c r="AA211" s="37" t="s">
        <v>740</v>
      </c>
      <c r="AB211" s="37" t="s">
        <v>741</v>
      </c>
      <c r="AC211" s="37"/>
    </row>
    <row r="212" spans="1:29" x14ac:dyDescent="0.3">
      <c r="A212" s="37">
        <v>561</v>
      </c>
      <c r="B212" s="37"/>
      <c r="C212" s="37">
        <v>5</v>
      </c>
      <c r="D212" s="37"/>
      <c r="E212" s="44">
        <v>17689</v>
      </c>
      <c r="F212" s="38">
        <f t="shared" si="62"/>
        <v>0</v>
      </c>
      <c r="G212" s="37"/>
      <c r="H212" s="38">
        <f t="shared" si="63"/>
        <v>0</v>
      </c>
      <c r="I212" s="67">
        <v>76</v>
      </c>
      <c r="J212" s="37" t="s">
        <v>688</v>
      </c>
      <c r="K212" s="37" t="s">
        <v>1960</v>
      </c>
      <c r="L212" s="37"/>
      <c r="M212" s="37"/>
      <c r="N212" s="36" t="s">
        <v>723</v>
      </c>
      <c r="O212" s="37"/>
      <c r="P212" s="44">
        <v>28300</v>
      </c>
      <c r="Q212" s="45">
        <f t="shared" si="61"/>
        <v>0.59986432246028609</v>
      </c>
      <c r="R212" s="46">
        <f t="shared" si="64"/>
        <v>0</v>
      </c>
      <c r="S212" s="37"/>
      <c r="T212" s="44">
        <f t="shared" si="65"/>
        <v>31840.2</v>
      </c>
      <c r="U212" s="45">
        <f t="shared" si="55"/>
        <v>0.8</v>
      </c>
      <c r="V212" s="38">
        <f t="shared" si="56"/>
        <v>0</v>
      </c>
      <c r="W212" s="37"/>
      <c r="X212" s="44">
        <f t="shared" si="66"/>
        <v>36262.449999999997</v>
      </c>
      <c r="Y212" s="45">
        <f t="shared" si="57"/>
        <v>1.0499999999999998</v>
      </c>
      <c r="Z212" s="38">
        <f t="shared" si="58"/>
        <v>0</v>
      </c>
      <c r="AA212" s="37" t="s">
        <v>724</v>
      </c>
      <c r="AB212" s="37" t="s">
        <v>725</v>
      </c>
      <c r="AC212" s="37"/>
    </row>
    <row r="213" spans="1:29" x14ac:dyDescent="0.3">
      <c r="A213" s="10">
        <v>369</v>
      </c>
      <c r="B213" s="2"/>
      <c r="C213" s="2">
        <v>1</v>
      </c>
      <c r="D213" s="10"/>
      <c r="E213" s="40">
        <v>19800</v>
      </c>
      <c r="F213" s="11">
        <f t="shared" si="62"/>
        <v>0</v>
      </c>
      <c r="G213" s="10"/>
      <c r="H213" s="11">
        <f t="shared" si="63"/>
        <v>0</v>
      </c>
      <c r="I213" s="66">
        <v>77</v>
      </c>
      <c r="J213" s="10" t="s">
        <v>688</v>
      </c>
      <c r="K213" s="10"/>
      <c r="L213" s="10"/>
      <c r="M213" s="10"/>
      <c r="N213" s="12" t="s">
        <v>775</v>
      </c>
      <c r="O213" s="10"/>
      <c r="P213" s="58">
        <v>31600</v>
      </c>
      <c r="Q213" s="13">
        <f t="shared" si="61"/>
        <v>0.59595959595959591</v>
      </c>
      <c r="R213" s="11">
        <f t="shared" si="64"/>
        <v>0</v>
      </c>
      <c r="S213" s="10"/>
      <c r="T213" s="58">
        <f t="shared" si="65"/>
        <v>35640</v>
      </c>
      <c r="U213" s="13">
        <f t="shared" si="55"/>
        <v>0.8</v>
      </c>
      <c r="V213" s="11">
        <f t="shared" si="56"/>
        <v>0</v>
      </c>
      <c r="W213" s="10"/>
      <c r="X213" s="58">
        <f t="shared" si="66"/>
        <v>40590</v>
      </c>
      <c r="Y213" s="13">
        <f t="shared" si="57"/>
        <v>1.05</v>
      </c>
      <c r="Z213" s="11">
        <f t="shared" si="58"/>
        <v>0</v>
      </c>
      <c r="AA213" s="10" t="s">
        <v>776</v>
      </c>
      <c r="AB213" s="10" t="s">
        <v>777</v>
      </c>
      <c r="AC213" s="2" t="s">
        <v>778</v>
      </c>
    </row>
    <row r="214" spans="1:29" x14ac:dyDescent="0.3">
      <c r="A214" s="10">
        <v>89</v>
      </c>
      <c r="B214" s="2"/>
      <c r="C214" s="2">
        <v>1</v>
      </c>
      <c r="D214" s="10"/>
      <c r="E214" s="40">
        <v>11200</v>
      </c>
      <c r="F214" s="11">
        <f t="shared" si="62"/>
        <v>0</v>
      </c>
      <c r="G214" s="10"/>
      <c r="H214" s="11">
        <f t="shared" si="63"/>
        <v>0</v>
      </c>
      <c r="I214" s="67">
        <v>78</v>
      </c>
      <c r="J214" s="10" t="s">
        <v>125</v>
      </c>
      <c r="K214" s="10"/>
      <c r="L214" s="10"/>
      <c r="M214" s="10"/>
      <c r="N214" s="12" t="s">
        <v>779</v>
      </c>
      <c r="O214" s="10"/>
      <c r="P214" s="58">
        <v>17900</v>
      </c>
      <c r="Q214" s="13">
        <f t="shared" si="61"/>
        <v>0.5982142857142857</v>
      </c>
      <c r="R214" s="11">
        <f t="shared" si="64"/>
        <v>0</v>
      </c>
      <c r="S214" s="10"/>
      <c r="T214" s="58">
        <f t="shared" si="65"/>
        <v>20160</v>
      </c>
      <c r="U214" s="13">
        <f t="shared" si="55"/>
        <v>0.8</v>
      </c>
      <c r="V214" s="11">
        <f t="shared" si="56"/>
        <v>0</v>
      </c>
      <c r="W214" s="10"/>
      <c r="X214" s="58">
        <f t="shared" si="66"/>
        <v>22959.999999999996</v>
      </c>
      <c r="Y214" s="13">
        <f t="shared" si="57"/>
        <v>1.0499999999999996</v>
      </c>
      <c r="Z214" s="11">
        <f t="shared" si="58"/>
        <v>0</v>
      </c>
      <c r="AA214" s="10" t="s">
        <v>780</v>
      </c>
      <c r="AB214" s="10" t="s">
        <v>781</v>
      </c>
      <c r="AC214" s="2" t="s">
        <v>782</v>
      </c>
    </row>
    <row r="215" spans="1:29" x14ac:dyDescent="0.3">
      <c r="A215" s="10">
        <v>90</v>
      </c>
      <c r="B215" s="2"/>
      <c r="C215" s="2">
        <v>1</v>
      </c>
      <c r="D215" s="10"/>
      <c r="E215" s="40">
        <v>48000</v>
      </c>
      <c r="F215" s="11">
        <f t="shared" si="62"/>
        <v>0</v>
      </c>
      <c r="G215" s="10"/>
      <c r="H215" s="11">
        <f t="shared" si="63"/>
        <v>0</v>
      </c>
      <c r="I215" s="66">
        <v>79</v>
      </c>
      <c r="J215" s="10" t="s">
        <v>125</v>
      </c>
      <c r="K215" s="10"/>
      <c r="L215" s="10"/>
      <c r="M215" s="10"/>
      <c r="N215" s="12" t="s">
        <v>783</v>
      </c>
      <c r="O215" s="10"/>
      <c r="P215" s="58">
        <v>76800</v>
      </c>
      <c r="Q215" s="13">
        <f t="shared" si="61"/>
        <v>0.6</v>
      </c>
      <c r="R215" s="11">
        <f t="shared" si="64"/>
        <v>0</v>
      </c>
      <c r="S215" s="10"/>
      <c r="T215" s="58">
        <f t="shared" si="65"/>
        <v>86400</v>
      </c>
      <c r="U215" s="13">
        <f t="shared" si="55"/>
        <v>0.8</v>
      </c>
      <c r="V215" s="11">
        <f t="shared" si="56"/>
        <v>0</v>
      </c>
      <c r="W215" s="10"/>
      <c r="X215" s="58">
        <f t="shared" si="66"/>
        <v>98399.999999999985</v>
      </c>
      <c r="Y215" s="13">
        <f t="shared" si="57"/>
        <v>1.0499999999999996</v>
      </c>
      <c r="Z215" s="11">
        <f t="shared" si="58"/>
        <v>0</v>
      </c>
      <c r="AA215" s="10" t="s">
        <v>784</v>
      </c>
      <c r="AB215" s="10" t="s">
        <v>785</v>
      </c>
      <c r="AC215" s="2" t="s">
        <v>786</v>
      </c>
    </row>
    <row r="216" spans="1:29" x14ac:dyDescent="0.3">
      <c r="A216" s="10">
        <v>86</v>
      </c>
      <c r="B216" s="2"/>
      <c r="C216" s="2">
        <v>1</v>
      </c>
      <c r="D216" s="10"/>
      <c r="E216" s="40">
        <v>13800</v>
      </c>
      <c r="F216" s="11">
        <f t="shared" si="62"/>
        <v>0</v>
      </c>
      <c r="G216" s="10"/>
      <c r="H216" s="11">
        <f t="shared" si="63"/>
        <v>0</v>
      </c>
      <c r="I216" s="67">
        <v>80</v>
      </c>
      <c r="J216" s="10" t="s">
        <v>125</v>
      </c>
      <c r="K216" s="10"/>
      <c r="L216" s="10"/>
      <c r="M216" s="10"/>
      <c r="N216" s="12" t="s">
        <v>787</v>
      </c>
      <c r="O216" s="10"/>
      <c r="P216" s="58">
        <v>22000</v>
      </c>
      <c r="Q216" s="13">
        <f t="shared" si="61"/>
        <v>0.59420289855072461</v>
      </c>
      <c r="R216" s="11">
        <f t="shared" si="64"/>
        <v>0</v>
      </c>
      <c r="S216" s="10"/>
      <c r="T216" s="58">
        <f t="shared" si="65"/>
        <v>24840</v>
      </c>
      <c r="U216" s="13">
        <f t="shared" si="55"/>
        <v>0.8</v>
      </c>
      <c r="V216" s="11">
        <f t="shared" si="56"/>
        <v>0</v>
      </c>
      <c r="W216" s="10"/>
      <c r="X216" s="58">
        <f t="shared" si="66"/>
        <v>28289.999999999996</v>
      </c>
      <c r="Y216" s="13">
        <f t="shared" si="57"/>
        <v>1.0499999999999998</v>
      </c>
      <c r="Z216" s="11">
        <f t="shared" si="58"/>
        <v>0</v>
      </c>
      <c r="AA216" s="10" t="s">
        <v>788</v>
      </c>
      <c r="AB216" s="10" t="s">
        <v>789</v>
      </c>
      <c r="AC216" s="2" t="s">
        <v>790</v>
      </c>
    </row>
    <row r="217" spans="1:29" x14ac:dyDescent="0.3">
      <c r="A217" s="10">
        <v>88</v>
      </c>
      <c r="B217" s="2"/>
      <c r="C217" s="2">
        <v>1</v>
      </c>
      <c r="D217" s="10"/>
      <c r="E217" s="40">
        <v>21500</v>
      </c>
      <c r="F217" s="11">
        <f t="shared" si="62"/>
        <v>0</v>
      </c>
      <c r="G217" s="10"/>
      <c r="H217" s="11">
        <f t="shared" si="63"/>
        <v>0</v>
      </c>
      <c r="I217" s="66">
        <v>81</v>
      </c>
      <c r="J217" s="10" t="s">
        <v>125</v>
      </c>
      <c r="K217" s="10"/>
      <c r="L217" s="10"/>
      <c r="M217" s="10"/>
      <c r="N217" s="12" t="s">
        <v>791</v>
      </c>
      <c r="O217" s="10"/>
      <c r="P217" s="58">
        <v>34400</v>
      </c>
      <c r="Q217" s="13">
        <f t="shared" si="61"/>
        <v>0.6</v>
      </c>
      <c r="R217" s="11">
        <f t="shared" si="64"/>
        <v>0</v>
      </c>
      <c r="S217" s="10"/>
      <c r="T217" s="58">
        <f t="shared" si="65"/>
        <v>38700</v>
      </c>
      <c r="U217" s="13">
        <f t="shared" si="55"/>
        <v>0.8</v>
      </c>
      <c r="V217" s="11">
        <f t="shared" si="56"/>
        <v>0</v>
      </c>
      <c r="W217" s="10"/>
      <c r="X217" s="58">
        <f t="shared" si="66"/>
        <v>44074.999999999993</v>
      </c>
      <c r="Y217" s="13">
        <f t="shared" si="57"/>
        <v>1.0499999999999996</v>
      </c>
      <c r="Z217" s="11">
        <f t="shared" si="58"/>
        <v>0</v>
      </c>
      <c r="AA217" s="10" t="s">
        <v>792</v>
      </c>
      <c r="AB217" s="10" t="s">
        <v>793</v>
      </c>
      <c r="AC217" s="2" t="s">
        <v>794</v>
      </c>
    </row>
    <row r="218" spans="1:29" x14ac:dyDescent="0.3">
      <c r="A218" s="5">
        <v>59</v>
      </c>
      <c r="B218" s="5">
        <v>78</v>
      </c>
      <c r="C218" s="5">
        <v>3</v>
      </c>
      <c r="D218" s="5">
        <v>1</v>
      </c>
      <c r="E218" s="41">
        <v>10500</v>
      </c>
      <c r="F218" s="29">
        <f t="shared" si="62"/>
        <v>10500</v>
      </c>
      <c r="G218" s="5"/>
      <c r="H218" s="29">
        <f t="shared" si="63"/>
        <v>0</v>
      </c>
      <c r="I218" s="67">
        <v>82</v>
      </c>
      <c r="J218" s="5" t="s">
        <v>445</v>
      </c>
      <c r="K218" s="5"/>
      <c r="L218" s="5"/>
      <c r="M218" s="5"/>
      <c r="N218" s="6" t="s">
        <v>795</v>
      </c>
      <c r="O218" s="5">
        <v>1</v>
      </c>
      <c r="P218" s="41">
        <v>16500</v>
      </c>
      <c r="Q218" s="33">
        <f t="shared" si="61"/>
        <v>0.5714285714285714</v>
      </c>
      <c r="R218" s="32">
        <f t="shared" si="64"/>
        <v>16500</v>
      </c>
      <c r="S218" s="5"/>
      <c r="T218" s="41">
        <v>18500</v>
      </c>
      <c r="U218" s="33">
        <f t="shared" si="55"/>
        <v>0.76190476190476186</v>
      </c>
      <c r="V218" s="29">
        <f t="shared" si="56"/>
        <v>0</v>
      </c>
      <c r="W218" s="5"/>
      <c r="X218" s="41">
        <v>21000</v>
      </c>
      <c r="Y218" s="33">
        <f t="shared" si="57"/>
        <v>1</v>
      </c>
      <c r="Z218" s="29">
        <f t="shared" si="58"/>
        <v>0</v>
      </c>
      <c r="AA218" s="5" t="s">
        <v>796</v>
      </c>
      <c r="AB218" s="5" t="s">
        <v>797</v>
      </c>
      <c r="AC218" s="5" t="s">
        <v>798</v>
      </c>
    </row>
    <row r="219" spans="1:29" x14ac:dyDescent="0.3">
      <c r="A219" s="49">
        <v>55</v>
      </c>
      <c r="B219" s="49">
        <v>60</v>
      </c>
      <c r="C219" s="49">
        <v>4</v>
      </c>
      <c r="D219" s="49">
        <v>2</v>
      </c>
      <c r="E219" s="50">
        <v>5900</v>
      </c>
      <c r="F219" s="51">
        <f t="shared" si="62"/>
        <v>11800</v>
      </c>
      <c r="G219" s="49"/>
      <c r="H219" s="51">
        <f t="shared" si="63"/>
        <v>0</v>
      </c>
      <c r="I219" s="66">
        <v>83</v>
      </c>
      <c r="J219" s="51" t="s">
        <v>445</v>
      </c>
      <c r="K219" s="51"/>
      <c r="L219" s="51" t="s">
        <v>517</v>
      </c>
      <c r="M219" s="51"/>
      <c r="N219" s="52" t="s">
        <v>819</v>
      </c>
      <c r="O219" s="49">
        <v>2</v>
      </c>
      <c r="P219" s="60">
        <v>9000</v>
      </c>
      <c r="Q219" s="53">
        <f t="shared" si="61"/>
        <v>0.52542372881355937</v>
      </c>
      <c r="R219" s="54">
        <f t="shared" si="64"/>
        <v>18000</v>
      </c>
      <c r="S219" s="49"/>
      <c r="T219" s="50">
        <v>10500</v>
      </c>
      <c r="U219" s="53">
        <f t="shared" si="55"/>
        <v>0.77966101694915257</v>
      </c>
      <c r="V219" s="51">
        <f t="shared" si="56"/>
        <v>0</v>
      </c>
      <c r="W219" s="49"/>
      <c r="X219" s="50">
        <v>10800</v>
      </c>
      <c r="Y219" s="53">
        <f t="shared" si="57"/>
        <v>0.83050847457627119</v>
      </c>
      <c r="Z219" s="51">
        <f t="shared" si="58"/>
        <v>0</v>
      </c>
      <c r="AA219" s="49" t="s">
        <v>820</v>
      </c>
      <c r="AB219" s="49"/>
      <c r="AC219" s="49"/>
    </row>
    <row r="220" spans="1:29" x14ac:dyDescent="0.3">
      <c r="A220" s="49">
        <v>62</v>
      </c>
      <c r="B220" s="49">
        <v>56</v>
      </c>
      <c r="C220" s="49">
        <v>4</v>
      </c>
      <c r="D220" s="49">
        <v>4</v>
      </c>
      <c r="E220" s="50">
        <v>4900</v>
      </c>
      <c r="F220" s="51">
        <f t="shared" si="62"/>
        <v>19600</v>
      </c>
      <c r="G220" s="49"/>
      <c r="H220" s="51">
        <f t="shared" si="63"/>
        <v>0</v>
      </c>
      <c r="I220" s="67">
        <v>84</v>
      </c>
      <c r="J220" s="51" t="s">
        <v>445</v>
      </c>
      <c r="K220" s="51"/>
      <c r="L220" s="51" t="s">
        <v>517</v>
      </c>
      <c r="M220" s="51" t="s">
        <v>518</v>
      </c>
      <c r="N220" s="52" t="s">
        <v>802</v>
      </c>
      <c r="O220" s="49">
        <v>4</v>
      </c>
      <c r="P220" s="71">
        <v>7500</v>
      </c>
      <c r="Q220" s="53">
        <f t="shared" si="61"/>
        <v>0.53061224489795922</v>
      </c>
      <c r="R220" s="54">
        <f t="shared" si="64"/>
        <v>30000</v>
      </c>
      <c r="S220" s="49"/>
      <c r="T220" s="50">
        <v>8600</v>
      </c>
      <c r="U220" s="53">
        <f t="shared" si="55"/>
        <v>0.75510204081632648</v>
      </c>
      <c r="V220" s="51">
        <f t="shared" si="56"/>
        <v>0</v>
      </c>
      <c r="W220" s="49"/>
      <c r="X220" s="50">
        <v>10000</v>
      </c>
      <c r="Y220" s="53">
        <f t="shared" si="57"/>
        <v>1.0408163265306123</v>
      </c>
      <c r="Z220" s="51">
        <f t="shared" si="58"/>
        <v>0</v>
      </c>
      <c r="AA220" s="49" t="s">
        <v>803</v>
      </c>
      <c r="AB220" s="49"/>
      <c r="AC220" s="49"/>
    </row>
    <row r="221" spans="1:29" x14ac:dyDescent="0.3">
      <c r="A221" s="10">
        <v>289</v>
      </c>
      <c r="B221" s="2"/>
      <c r="C221" s="2">
        <v>1</v>
      </c>
      <c r="D221" s="10"/>
      <c r="E221" s="40">
        <v>5600</v>
      </c>
      <c r="F221" s="11">
        <f t="shared" si="62"/>
        <v>0</v>
      </c>
      <c r="G221" s="10"/>
      <c r="H221" s="11">
        <f t="shared" si="63"/>
        <v>0</v>
      </c>
      <c r="I221" s="66">
        <v>85</v>
      </c>
      <c r="J221" s="10" t="s">
        <v>445</v>
      </c>
      <c r="K221" s="10"/>
      <c r="L221" s="10"/>
      <c r="M221" s="10"/>
      <c r="N221" s="12" t="s">
        <v>804</v>
      </c>
      <c r="O221" s="10"/>
      <c r="P221" s="58">
        <v>8900</v>
      </c>
      <c r="Q221" s="13">
        <f t="shared" si="61"/>
        <v>0.5892857142857143</v>
      </c>
      <c r="R221" s="11">
        <f t="shared" si="64"/>
        <v>0</v>
      </c>
      <c r="S221" s="10"/>
      <c r="T221" s="58">
        <f>E221*1.8</f>
        <v>10080</v>
      </c>
      <c r="U221" s="13">
        <f t="shared" si="55"/>
        <v>0.8</v>
      </c>
      <c r="V221" s="11">
        <f t="shared" si="56"/>
        <v>0</v>
      </c>
      <c r="W221" s="10"/>
      <c r="X221" s="58">
        <f>E221*2.05</f>
        <v>11479.999999999998</v>
      </c>
      <c r="Y221" s="13">
        <f t="shared" si="57"/>
        <v>1.0499999999999996</v>
      </c>
      <c r="Z221" s="11">
        <f t="shared" si="58"/>
        <v>0</v>
      </c>
      <c r="AA221" s="10" t="s">
        <v>805</v>
      </c>
      <c r="AB221" s="10" t="s">
        <v>806</v>
      </c>
      <c r="AC221" s="2" t="s">
        <v>807</v>
      </c>
    </row>
    <row r="222" spans="1:29" x14ac:dyDescent="0.3">
      <c r="A222" s="10">
        <v>290</v>
      </c>
      <c r="B222" s="2"/>
      <c r="C222" s="2">
        <v>1</v>
      </c>
      <c r="D222" s="10"/>
      <c r="E222" s="40">
        <v>5600</v>
      </c>
      <c r="F222" s="11">
        <f t="shared" si="62"/>
        <v>0</v>
      </c>
      <c r="G222" s="10"/>
      <c r="H222" s="11">
        <f t="shared" si="63"/>
        <v>0</v>
      </c>
      <c r="I222" s="67">
        <v>86</v>
      </c>
      <c r="J222" s="10" t="s">
        <v>445</v>
      </c>
      <c r="K222" s="10"/>
      <c r="L222" s="10"/>
      <c r="M222" s="10"/>
      <c r="N222" s="12" t="s">
        <v>808</v>
      </c>
      <c r="O222" s="10"/>
      <c r="P222" s="58">
        <v>8900</v>
      </c>
      <c r="Q222" s="13">
        <f t="shared" si="61"/>
        <v>0.5892857142857143</v>
      </c>
      <c r="R222" s="11">
        <f t="shared" si="64"/>
        <v>0</v>
      </c>
      <c r="S222" s="10"/>
      <c r="T222" s="58">
        <f>E222*1.8</f>
        <v>10080</v>
      </c>
      <c r="U222" s="13">
        <f t="shared" si="55"/>
        <v>0.8</v>
      </c>
      <c r="V222" s="11">
        <f t="shared" si="56"/>
        <v>0</v>
      </c>
      <c r="W222" s="10"/>
      <c r="X222" s="58">
        <f>E222*2.05</f>
        <v>11479.999999999998</v>
      </c>
      <c r="Y222" s="13">
        <f t="shared" si="57"/>
        <v>1.0499999999999996</v>
      </c>
      <c r="Z222" s="11">
        <f t="shared" si="58"/>
        <v>0</v>
      </c>
      <c r="AA222" s="10" t="s">
        <v>809</v>
      </c>
      <c r="AB222" s="10" t="s">
        <v>810</v>
      </c>
      <c r="AC222" s="2" t="s">
        <v>811</v>
      </c>
    </row>
    <row r="223" spans="1:29" x14ac:dyDescent="0.3">
      <c r="A223" s="10">
        <v>291</v>
      </c>
      <c r="B223" s="2"/>
      <c r="C223" s="2">
        <v>1</v>
      </c>
      <c r="D223" s="10"/>
      <c r="E223" s="40">
        <v>5600</v>
      </c>
      <c r="F223" s="11">
        <f t="shared" si="62"/>
        <v>0</v>
      </c>
      <c r="G223" s="10"/>
      <c r="H223" s="11">
        <f t="shared" si="63"/>
        <v>0</v>
      </c>
      <c r="I223" s="66">
        <v>87</v>
      </c>
      <c r="J223" s="10" t="s">
        <v>445</v>
      </c>
      <c r="K223" s="10"/>
      <c r="L223" s="10"/>
      <c r="M223" s="10"/>
      <c r="N223" s="12" t="s">
        <v>812</v>
      </c>
      <c r="O223" s="10"/>
      <c r="P223" s="58">
        <v>8900</v>
      </c>
      <c r="Q223" s="13">
        <f t="shared" si="61"/>
        <v>0.5892857142857143</v>
      </c>
      <c r="R223" s="11">
        <f t="shared" si="64"/>
        <v>0</v>
      </c>
      <c r="S223" s="10"/>
      <c r="T223" s="58">
        <f>E223*1.8</f>
        <v>10080</v>
      </c>
      <c r="U223" s="13">
        <f t="shared" si="55"/>
        <v>0.8</v>
      </c>
      <c r="V223" s="11">
        <f t="shared" si="56"/>
        <v>0</v>
      </c>
      <c r="W223" s="10"/>
      <c r="X223" s="58">
        <f>E223*2.05</f>
        <v>11479.999999999998</v>
      </c>
      <c r="Y223" s="13">
        <f t="shared" si="57"/>
        <v>1.0499999999999996</v>
      </c>
      <c r="Z223" s="11">
        <f t="shared" si="58"/>
        <v>0</v>
      </c>
      <c r="AA223" s="10" t="s">
        <v>813</v>
      </c>
      <c r="AB223" s="10" t="s">
        <v>814</v>
      </c>
      <c r="AC223" s="2" t="s">
        <v>807</v>
      </c>
    </row>
    <row r="224" spans="1:29" x14ac:dyDescent="0.3">
      <c r="A224" s="5">
        <v>61</v>
      </c>
      <c r="B224" s="5">
        <v>79</v>
      </c>
      <c r="C224" s="5">
        <v>3</v>
      </c>
      <c r="D224" s="5">
        <v>5</v>
      </c>
      <c r="E224" s="41">
        <v>5900</v>
      </c>
      <c r="F224" s="29">
        <f t="shared" si="62"/>
        <v>29500</v>
      </c>
      <c r="G224" s="5"/>
      <c r="H224" s="29">
        <f t="shared" si="63"/>
        <v>0</v>
      </c>
      <c r="I224" s="67">
        <v>88</v>
      </c>
      <c r="J224" s="5" t="s">
        <v>445</v>
      </c>
      <c r="K224" s="5"/>
      <c r="L224" s="5"/>
      <c r="M224" s="5"/>
      <c r="N224" s="6" t="s">
        <v>815</v>
      </c>
      <c r="O224" s="5">
        <v>5</v>
      </c>
      <c r="P224" s="41">
        <v>9500</v>
      </c>
      <c r="Q224" s="33">
        <f t="shared" si="61"/>
        <v>0.61016949152542377</v>
      </c>
      <c r="R224" s="32">
        <f t="shared" si="64"/>
        <v>47500</v>
      </c>
      <c r="S224" s="5"/>
      <c r="T224" s="41">
        <v>10000</v>
      </c>
      <c r="U224" s="33">
        <f t="shared" si="55"/>
        <v>0.69491525423728817</v>
      </c>
      <c r="V224" s="29">
        <f t="shared" si="56"/>
        <v>0</v>
      </c>
      <c r="W224" s="5"/>
      <c r="X224" s="41">
        <v>11500</v>
      </c>
      <c r="Y224" s="33">
        <f t="shared" si="57"/>
        <v>0.94915254237288138</v>
      </c>
      <c r="Z224" s="29">
        <f t="shared" si="58"/>
        <v>0</v>
      </c>
      <c r="AA224" s="5" t="s">
        <v>816</v>
      </c>
      <c r="AB224" s="5" t="s">
        <v>817</v>
      </c>
      <c r="AC224" s="5" t="s">
        <v>818</v>
      </c>
    </row>
    <row r="225" spans="1:29" x14ac:dyDescent="0.3">
      <c r="A225" s="5">
        <v>44</v>
      </c>
      <c r="B225" s="5">
        <v>59</v>
      </c>
      <c r="C225" s="5">
        <v>3</v>
      </c>
      <c r="D225" s="5">
        <v>7</v>
      </c>
      <c r="E225" s="41">
        <v>10500</v>
      </c>
      <c r="F225" s="29">
        <f t="shared" si="62"/>
        <v>73500</v>
      </c>
      <c r="G225" s="5"/>
      <c r="H225" s="29">
        <f t="shared" si="63"/>
        <v>0</v>
      </c>
      <c r="I225" s="66">
        <v>89</v>
      </c>
      <c r="J225" s="5" t="s">
        <v>397</v>
      </c>
      <c r="K225" s="5"/>
      <c r="L225" s="5"/>
      <c r="M225" s="5"/>
      <c r="N225" s="6" t="s">
        <v>837</v>
      </c>
      <c r="O225" s="5">
        <v>7</v>
      </c>
      <c r="P225" s="59">
        <v>16500</v>
      </c>
      <c r="Q225" s="33">
        <v>0.5714285714285714</v>
      </c>
      <c r="R225" s="29">
        <v>115500</v>
      </c>
      <c r="S225" s="5"/>
      <c r="T225" s="59">
        <v>18500</v>
      </c>
      <c r="U225" s="33">
        <v>0.76190476190476186</v>
      </c>
      <c r="V225" s="29">
        <v>0</v>
      </c>
      <c r="W225" s="5"/>
      <c r="X225" s="59">
        <v>22000</v>
      </c>
      <c r="Y225" s="33">
        <v>1.0952380952380949</v>
      </c>
      <c r="Z225" s="29">
        <v>0</v>
      </c>
      <c r="AA225" s="5" t="s">
        <v>838</v>
      </c>
      <c r="AB225" s="5" t="s">
        <v>839</v>
      </c>
      <c r="AC225" s="5" t="s">
        <v>840</v>
      </c>
    </row>
    <row r="226" spans="1:29" x14ac:dyDescent="0.3">
      <c r="A226" s="5">
        <v>60</v>
      </c>
      <c r="B226" s="5">
        <v>62</v>
      </c>
      <c r="C226" s="5">
        <v>3</v>
      </c>
      <c r="D226" s="5">
        <v>3</v>
      </c>
      <c r="E226" s="41">
        <v>6300</v>
      </c>
      <c r="F226" s="29">
        <f t="shared" si="62"/>
        <v>18900</v>
      </c>
      <c r="G226" s="5"/>
      <c r="H226" s="29">
        <f t="shared" si="63"/>
        <v>0</v>
      </c>
      <c r="I226" s="67">
        <v>90</v>
      </c>
      <c r="J226" s="5" t="s">
        <v>445</v>
      </c>
      <c r="K226" s="5"/>
      <c r="L226" s="5"/>
      <c r="M226" s="5"/>
      <c r="N226" s="6" t="s">
        <v>841</v>
      </c>
      <c r="O226" s="5">
        <v>3</v>
      </c>
      <c r="P226" s="41">
        <v>10000</v>
      </c>
      <c r="Q226" s="33">
        <f t="shared" ref="Q226:Q289" si="67">(P226-E226)/E226</f>
        <v>0.58730158730158732</v>
      </c>
      <c r="R226" s="32">
        <f t="shared" ref="R226:R289" si="68">O226*P226</f>
        <v>30000</v>
      </c>
      <c r="S226" s="5"/>
      <c r="T226" s="41">
        <v>11000</v>
      </c>
      <c r="U226" s="33">
        <f t="shared" ref="U226:U289" si="69">(T226-E226)/E226</f>
        <v>0.74603174603174605</v>
      </c>
      <c r="V226" s="29">
        <f t="shared" ref="V226:V289" si="70">S226*T226</f>
        <v>0</v>
      </c>
      <c r="W226" s="5"/>
      <c r="X226" s="41">
        <v>12800</v>
      </c>
      <c r="Y226" s="33">
        <f t="shared" ref="Y226:Y289" si="71">(X226-E226)/E226</f>
        <v>1.0317460317460319</v>
      </c>
      <c r="Z226" s="29">
        <f t="shared" ref="Z226:Z289" si="72">W226*X226</f>
        <v>0</v>
      </c>
      <c r="AA226" s="5" t="s">
        <v>842</v>
      </c>
      <c r="AB226" s="5" t="s">
        <v>843</v>
      </c>
      <c r="AC226" s="5" t="s">
        <v>827</v>
      </c>
    </row>
    <row r="227" spans="1:29" x14ac:dyDescent="0.3">
      <c r="A227" s="10">
        <v>301</v>
      </c>
      <c r="B227" s="2"/>
      <c r="C227" s="2">
        <v>1</v>
      </c>
      <c r="D227" s="10"/>
      <c r="E227" s="40">
        <v>6300</v>
      </c>
      <c r="F227" s="11">
        <f t="shared" si="62"/>
        <v>0</v>
      </c>
      <c r="G227" s="10"/>
      <c r="H227" s="11">
        <f t="shared" si="63"/>
        <v>0</v>
      </c>
      <c r="I227" s="66">
        <v>91</v>
      </c>
      <c r="J227" s="10" t="s">
        <v>445</v>
      </c>
      <c r="K227" s="10"/>
      <c r="L227" s="10"/>
      <c r="M227" s="10"/>
      <c r="N227" s="12" t="s">
        <v>821</v>
      </c>
      <c r="O227" s="10"/>
      <c r="P227" s="58">
        <v>10000</v>
      </c>
      <c r="Q227" s="13">
        <f t="shared" si="67"/>
        <v>0.58730158730158732</v>
      </c>
      <c r="R227" s="11">
        <f t="shared" si="68"/>
        <v>0</v>
      </c>
      <c r="S227" s="10"/>
      <c r="T227" s="58">
        <f t="shared" ref="T227:T233" si="73">E227*1.8</f>
        <v>11340</v>
      </c>
      <c r="U227" s="13">
        <f t="shared" si="69"/>
        <v>0.8</v>
      </c>
      <c r="V227" s="11">
        <f t="shared" si="70"/>
        <v>0</v>
      </c>
      <c r="W227" s="10"/>
      <c r="X227" s="58">
        <f t="shared" ref="X227:X233" si="74">E227*2.05</f>
        <v>12914.999999999998</v>
      </c>
      <c r="Y227" s="13">
        <f t="shared" si="71"/>
        <v>1.0499999999999996</v>
      </c>
      <c r="Z227" s="11">
        <f t="shared" si="72"/>
        <v>0</v>
      </c>
      <c r="AA227" s="10" t="s">
        <v>822</v>
      </c>
      <c r="AB227" s="10" t="s">
        <v>823</v>
      </c>
      <c r="AC227" s="2"/>
    </row>
    <row r="228" spans="1:29" x14ac:dyDescent="0.3">
      <c r="A228" s="10">
        <v>302</v>
      </c>
      <c r="B228" s="2"/>
      <c r="C228" s="2">
        <v>1</v>
      </c>
      <c r="D228" s="10"/>
      <c r="E228" s="40">
        <v>6300</v>
      </c>
      <c r="F228" s="11">
        <f t="shared" si="62"/>
        <v>0</v>
      </c>
      <c r="G228" s="10"/>
      <c r="H228" s="11">
        <f t="shared" si="63"/>
        <v>0</v>
      </c>
      <c r="I228" s="67">
        <v>92</v>
      </c>
      <c r="J228" s="10" t="s">
        <v>445</v>
      </c>
      <c r="K228" s="10"/>
      <c r="L228" s="10"/>
      <c r="M228" s="10"/>
      <c r="N228" s="12" t="s">
        <v>824</v>
      </c>
      <c r="O228" s="10"/>
      <c r="P228" s="58">
        <v>10000</v>
      </c>
      <c r="Q228" s="13">
        <f t="shared" si="67"/>
        <v>0.58730158730158732</v>
      </c>
      <c r="R228" s="11">
        <f t="shared" si="68"/>
        <v>0</v>
      </c>
      <c r="S228" s="10"/>
      <c r="T228" s="58">
        <f t="shared" si="73"/>
        <v>11340</v>
      </c>
      <c r="U228" s="13">
        <f t="shared" si="69"/>
        <v>0.8</v>
      </c>
      <c r="V228" s="11">
        <f t="shared" si="70"/>
        <v>0</v>
      </c>
      <c r="W228" s="10"/>
      <c r="X228" s="58">
        <f t="shared" si="74"/>
        <v>12914.999999999998</v>
      </c>
      <c r="Y228" s="13">
        <f t="shared" si="71"/>
        <v>1.0499999999999996</v>
      </c>
      <c r="Z228" s="11">
        <f t="shared" si="72"/>
        <v>0</v>
      </c>
      <c r="AA228" s="10" t="s">
        <v>825</v>
      </c>
      <c r="AB228" s="10" t="s">
        <v>826</v>
      </c>
      <c r="AC228" s="2" t="s">
        <v>827</v>
      </c>
    </row>
    <row r="229" spans="1:29" x14ac:dyDescent="0.3">
      <c r="A229" s="10">
        <v>303</v>
      </c>
      <c r="B229" s="2"/>
      <c r="C229" s="2">
        <v>1</v>
      </c>
      <c r="D229" s="10"/>
      <c r="E229" s="40">
        <v>6300</v>
      </c>
      <c r="F229" s="11">
        <f t="shared" si="62"/>
        <v>0</v>
      </c>
      <c r="G229" s="10"/>
      <c r="H229" s="11">
        <f t="shared" si="63"/>
        <v>0</v>
      </c>
      <c r="I229" s="66">
        <v>93</v>
      </c>
      <c r="J229" s="10" t="s">
        <v>445</v>
      </c>
      <c r="K229" s="10"/>
      <c r="L229" s="10"/>
      <c r="M229" s="10"/>
      <c r="N229" s="12" t="s">
        <v>828</v>
      </c>
      <c r="O229" s="10"/>
      <c r="P229" s="58">
        <v>10000</v>
      </c>
      <c r="Q229" s="13">
        <f t="shared" si="67"/>
        <v>0.58730158730158732</v>
      </c>
      <c r="R229" s="11">
        <f t="shared" si="68"/>
        <v>0</v>
      </c>
      <c r="S229" s="10"/>
      <c r="T229" s="58">
        <f t="shared" si="73"/>
        <v>11340</v>
      </c>
      <c r="U229" s="13">
        <f t="shared" si="69"/>
        <v>0.8</v>
      </c>
      <c r="V229" s="11">
        <f t="shared" si="70"/>
        <v>0</v>
      </c>
      <c r="W229" s="10"/>
      <c r="X229" s="58">
        <f t="shared" si="74"/>
        <v>12914.999999999998</v>
      </c>
      <c r="Y229" s="13">
        <f t="shared" si="71"/>
        <v>1.0499999999999996</v>
      </c>
      <c r="Z229" s="11">
        <f t="shared" si="72"/>
        <v>0</v>
      </c>
      <c r="AA229" s="10" t="s">
        <v>829</v>
      </c>
      <c r="AB229" s="10" t="s">
        <v>830</v>
      </c>
      <c r="AC229" s="2" t="s">
        <v>827</v>
      </c>
    </row>
    <row r="230" spans="1:29" x14ac:dyDescent="0.3">
      <c r="A230" s="10">
        <v>304</v>
      </c>
      <c r="B230" s="2"/>
      <c r="C230" s="2">
        <v>1</v>
      </c>
      <c r="D230" s="10"/>
      <c r="E230" s="40">
        <v>6300</v>
      </c>
      <c r="F230" s="11">
        <f t="shared" si="62"/>
        <v>0</v>
      </c>
      <c r="G230" s="10"/>
      <c r="H230" s="11">
        <f t="shared" si="63"/>
        <v>0</v>
      </c>
      <c r="I230" s="67">
        <v>94</v>
      </c>
      <c r="J230" s="10" t="s">
        <v>445</v>
      </c>
      <c r="K230" s="10"/>
      <c r="L230" s="10"/>
      <c r="M230" s="10"/>
      <c r="N230" s="12" t="s">
        <v>831</v>
      </c>
      <c r="O230" s="10"/>
      <c r="P230" s="58">
        <v>10000</v>
      </c>
      <c r="Q230" s="13">
        <f t="shared" si="67"/>
        <v>0.58730158730158732</v>
      </c>
      <c r="R230" s="11">
        <f t="shared" si="68"/>
        <v>0</v>
      </c>
      <c r="S230" s="10"/>
      <c r="T230" s="58">
        <f t="shared" si="73"/>
        <v>11340</v>
      </c>
      <c r="U230" s="13">
        <f t="shared" si="69"/>
        <v>0.8</v>
      </c>
      <c r="V230" s="11">
        <f t="shared" si="70"/>
        <v>0</v>
      </c>
      <c r="W230" s="10"/>
      <c r="X230" s="58">
        <f t="shared" si="74"/>
        <v>12914.999999999998</v>
      </c>
      <c r="Y230" s="13">
        <f t="shared" si="71"/>
        <v>1.0499999999999996</v>
      </c>
      <c r="Z230" s="11">
        <f t="shared" si="72"/>
        <v>0</v>
      </c>
      <c r="AA230" s="10" t="s">
        <v>832</v>
      </c>
      <c r="AB230" s="10" t="s">
        <v>833</v>
      </c>
      <c r="AC230" s="2" t="s">
        <v>827</v>
      </c>
    </row>
    <row r="231" spans="1:29" x14ac:dyDescent="0.3">
      <c r="A231" s="10">
        <v>305</v>
      </c>
      <c r="B231" s="2"/>
      <c r="C231" s="2">
        <v>1</v>
      </c>
      <c r="D231" s="10"/>
      <c r="E231" s="40">
        <v>8600</v>
      </c>
      <c r="F231" s="11">
        <f t="shared" si="62"/>
        <v>0</v>
      </c>
      <c r="G231" s="10"/>
      <c r="H231" s="11">
        <f t="shared" si="63"/>
        <v>0</v>
      </c>
      <c r="I231" s="66">
        <v>95</v>
      </c>
      <c r="J231" s="10" t="s">
        <v>445</v>
      </c>
      <c r="K231" s="10"/>
      <c r="L231" s="10"/>
      <c r="M231" s="10"/>
      <c r="N231" s="12" t="s">
        <v>834</v>
      </c>
      <c r="O231" s="10"/>
      <c r="P231" s="58">
        <v>13700</v>
      </c>
      <c r="Q231" s="13">
        <f t="shared" si="67"/>
        <v>0.59302325581395354</v>
      </c>
      <c r="R231" s="11">
        <f t="shared" si="68"/>
        <v>0</v>
      </c>
      <c r="S231" s="10"/>
      <c r="T231" s="58">
        <f t="shared" si="73"/>
        <v>15480</v>
      </c>
      <c r="U231" s="13">
        <f t="shared" si="69"/>
        <v>0.8</v>
      </c>
      <c r="V231" s="11">
        <f t="shared" si="70"/>
        <v>0</v>
      </c>
      <c r="W231" s="10"/>
      <c r="X231" s="58">
        <f t="shared" si="74"/>
        <v>17630</v>
      </c>
      <c r="Y231" s="13">
        <f t="shared" si="71"/>
        <v>1.05</v>
      </c>
      <c r="Z231" s="11">
        <f t="shared" si="72"/>
        <v>0</v>
      </c>
      <c r="AA231" s="10" t="s">
        <v>835</v>
      </c>
      <c r="AB231" s="10" t="s">
        <v>836</v>
      </c>
      <c r="AC231" s="2" t="s">
        <v>827</v>
      </c>
    </row>
    <row r="232" spans="1:29" x14ac:dyDescent="0.3">
      <c r="A232" s="37">
        <v>541</v>
      </c>
      <c r="B232" s="37"/>
      <c r="C232" s="37">
        <v>5</v>
      </c>
      <c r="D232" s="37"/>
      <c r="E232" s="44">
        <v>15000</v>
      </c>
      <c r="F232" s="38">
        <f t="shared" si="62"/>
        <v>0</v>
      </c>
      <c r="G232" s="37"/>
      <c r="H232" s="38">
        <f t="shared" si="63"/>
        <v>0</v>
      </c>
      <c r="I232" s="67">
        <v>96</v>
      </c>
      <c r="J232" s="37" t="s">
        <v>445</v>
      </c>
      <c r="K232" s="37" t="s">
        <v>1960</v>
      </c>
      <c r="L232" s="37"/>
      <c r="M232" s="37"/>
      <c r="N232" s="36" t="s">
        <v>850</v>
      </c>
      <c r="O232" s="37"/>
      <c r="P232" s="44">
        <v>24000</v>
      </c>
      <c r="Q232" s="45">
        <f t="shared" si="67"/>
        <v>0.6</v>
      </c>
      <c r="R232" s="46">
        <f t="shared" si="68"/>
        <v>0</v>
      </c>
      <c r="S232" s="37"/>
      <c r="T232" s="44">
        <f t="shared" si="73"/>
        <v>27000</v>
      </c>
      <c r="U232" s="45">
        <f t="shared" si="69"/>
        <v>0.8</v>
      </c>
      <c r="V232" s="38">
        <f t="shared" si="70"/>
        <v>0</v>
      </c>
      <c r="W232" s="37"/>
      <c r="X232" s="44">
        <f t="shared" si="74"/>
        <v>30749.999999999996</v>
      </c>
      <c r="Y232" s="45">
        <f t="shared" si="71"/>
        <v>1.0499999999999998</v>
      </c>
      <c r="Z232" s="38">
        <f t="shared" si="72"/>
        <v>0</v>
      </c>
      <c r="AA232" s="37" t="s">
        <v>851</v>
      </c>
      <c r="AB232" s="37" t="s">
        <v>852</v>
      </c>
      <c r="AC232" s="37"/>
    </row>
    <row r="233" spans="1:29" x14ac:dyDescent="0.3">
      <c r="A233" s="10">
        <v>234</v>
      </c>
      <c r="B233" s="2"/>
      <c r="C233" s="2">
        <v>1</v>
      </c>
      <c r="D233" s="10"/>
      <c r="E233" s="40">
        <v>5300</v>
      </c>
      <c r="F233" s="11">
        <f t="shared" si="62"/>
        <v>0</v>
      </c>
      <c r="G233" s="10"/>
      <c r="H233" s="11">
        <f t="shared" si="63"/>
        <v>0</v>
      </c>
      <c r="I233" s="66">
        <v>97</v>
      </c>
      <c r="J233" s="10" t="s">
        <v>397</v>
      </c>
      <c r="K233" s="10"/>
      <c r="L233" s="10"/>
      <c r="M233" s="10"/>
      <c r="N233" s="12" t="s">
        <v>846</v>
      </c>
      <c r="O233" s="10"/>
      <c r="P233" s="58">
        <v>8400</v>
      </c>
      <c r="Q233" s="13">
        <f t="shared" si="67"/>
        <v>0.58490566037735847</v>
      </c>
      <c r="R233" s="11">
        <f t="shared" si="68"/>
        <v>0</v>
      </c>
      <c r="S233" s="10"/>
      <c r="T233" s="58">
        <f t="shared" si="73"/>
        <v>9540</v>
      </c>
      <c r="U233" s="13">
        <f t="shared" si="69"/>
        <v>0.8</v>
      </c>
      <c r="V233" s="11">
        <f t="shared" si="70"/>
        <v>0</v>
      </c>
      <c r="W233" s="10"/>
      <c r="X233" s="58">
        <f t="shared" si="74"/>
        <v>10864.999999999998</v>
      </c>
      <c r="Y233" s="13">
        <f t="shared" si="71"/>
        <v>1.0499999999999996</v>
      </c>
      <c r="Z233" s="11">
        <f t="shared" si="72"/>
        <v>0</v>
      </c>
      <c r="AA233" s="10" t="s">
        <v>847</v>
      </c>
      <c r="AB233" s="10" t="s">
        <v>848</v>
      </c>
      <c r="AC233" s="2" t="s">
        <v>849</v>
      </c>
    </row>
    <row r="234" spans="1:29" x14ac:dyDescent="0.3">
      <c r="A234" s="49">
        <v>56</v>
      </c>
      <c r="B234" s="49">
        <v>58</v>
      </c>
      <c r="C234" s="49">
        <v>4</v>
      </c>
      <c r="D234" s="49">
        <v>7</v>
      </c>
      <c r="E234" s="50">
        <v>8300</v>
      </c>
      <c r="F234" s="51">
        <f t="shared" si="62"/>
        <v>58100</v>
      </c>
      <c r="G234" s="49"/>
      <c r="H234" s="51">
        <f t="shared" si="63"/>
        <v>0</v>
      </c>
      <c r="I234" s="67">
        <v>98</v>
      </c>
      <c r="J234" s="51" t="s">
        <v>445</v>
      </c>
      <c r="K234" s="51"/>
      <c r="L234" s="51" t="s">
        <v>517</v>
      </c>
      <c r="M234" s="51" t="s">
        <v>518</v>
      </c>
      <c r="N234" s="52" t="s">
        <v>844</v>
      </c>
      <c r="O234" s="49">
        <v>7</v>
      </c>
      <c r="P234" s="70">
        <v>12500</v>
      </c>
      <c r="Q234" s="55">
        <f t="shared" si="67"/>
        <v>0.50602409638554213</v>
      </c>
      <c r="R234" s="51">
        <f t="shared" si="68"/>
        <v>87500</v>
      </c>
      <c r="S234" s="49"/>
      <c r="T234" s="50">
        <v>16000</v>
      </c>
      <c r="U234" s="53">
        <f t="shared" si="69"/>
        <v>0.92771084337349397</v>
      </c>
      <c r="V234" s="51">
        <f t="shared" si="70"/>
        <v>0</v>
      </c>
      <c r="W234" s="49"/>
      <c r="X234" s="50">
        <v>19000</v>
      </c>
      <c r="Y234" s="53">
        <f t="shared" si="71"/>
        <v>1.2891566265060241</v>
      </c>
      <c r="Z234" s="51">
        <f t="shared" si="72"/>
        <v>0</v>
      </c>
      <c r="AA234" s="49" t="s">
        <v>845</v>
      </c>
      <c r="AB234" s="49"/>
      <c r="AC234" s="49"/>
    </row>
    <row r="235" spans="1:29" x14ac:dyDescent="0.3">
      <c r="A235" s="10">
        <v>87</v>
      </c>
      <c r="B235" s="2"/>
      <c r="C235" s="2">
        <v>1</v>
      </c>
      <c r="D235" s="10"/>
      <c r="E235" s="40">
        <v>17500</v>
      </c>
      <c r="F235" s="11">
        <f t="shared" si="62"/>
        <v>0</v>
      </c>
      <c r="G235" s="10"/>
      <c r="H235" s="11">
        <f t="shared" si="63"/>
        <v>0</v>
      </c>
      <c r="I235" s="66">
        <v>99</v>
      </c>
      <c r="J235" s="10" t="s">
        <v>125</v>
      </c>
      <c r="K235" s="10"/>
      <c r="L235" s="10"/>
      <c r="M235" s="10"/>
      <c r="N235" s="12" t="s">
        <v>853</v>
      </c>
      <c r="O235" s="10"/>
      <c r="P235" s="58">
        <v>28000</v>
      </c>
      <c r="Q235" s="13">
        <f t="shared" si="67"/>
        <v>0.6</v>
      </c>
      <c r="R235" s="11">
        <f t="shared" si="68"/>
        <v>0</v>
      </c>
      <c r="S235" s="10"/>
      <c r="T235" s="58">
        <f>E235*1.8</f>
        <v>31500</v>
      </c>
      <c r="U235" s="13">
        <f t="shared" si="69"/>
        <v>0.8</v>
      </c>
      <c r="V235" s="11">
        <f t="shared" si="70"/>
        <v>0</v>
      </c>
      <c r="W235" s="10"/>
      <c r="X235" s="58">
        <f>E235*2.05</f>
        <v>35875</v>
      </c>
      <c r="Y235" s="13">
        <f t="shared" si="71"/>
        <v>1.05</v>
      </c>
      <c r="Z235" s="11">
        <f t="shared" si="72"/>
        <v>0</v>
      </c>
      <c r="AA235" s="10" t="s">
        <v>854</v>
      </c>
      <c r="AB235" s="10" t="s">
        <v>855</v>
      </c>
      <c r="AC235" s="2"/>
    </row>
    <row r="236" spans="1:29" x14ac:dyDescent="0.3">
      <c r="A236" s="10">
        <v>79</v>
      </c>
      <c r="B236" s="10"/>
      <c r="C236" s="10">
        <v>1</v>
      </c>
      <c r="D236" s="10"/>
      <c r="E236" s="40">
        <v>7500</v>
      </c>
      <c r="F236" s="11">
        <f t="shared" si="62"/>
        <v>0</v>
      </c>
      <c r="G236" s="10"/>
      <c r="H236" s="11">
        <f t="shared" si="63"/>
        <v>0</v>
      </c>
      <c r="I236" s="67">
        <v>100</v>
      </c>
      <c r="J236" s="10" t="s">
        <v>19</v>
      </c>
      <c r="K236" s="10"/>
      <c r="L236" s="10"/>
      <c r="M236" s="10"/>
      <c r="N236" s="12" t="s">
        <v>856</v>
      </c>
      <c r="O236" s="10"/>
      <c r="P236" s="58">
        <v>12000</v>
      </c>
      <c r="Q236" s="13">
        <f t="shared" si="67"/>
        <v>0.6</v>
      </c>
      <c r="R236" s="11">
        <f t="shared" si="68"/>
        <v>0</v>
      </c>
      <c r="S236" s="10"/>
      <c r="T236" s="58">
        <f>E236*1.8</f>
        <v>13500</v>
      </c>
      <c r="U236" s="13">
        <f t="shared" si="69"/>
        <v>0.8</v>
      </c>
      <c r="V236" s="11">
        <f t="shared" si="70"/>
        <v>0</v>
      </c>
      <c r="W236" s="10"/>
      <c r="X236" s="58">
        <f>E236*2.05</f>
        <v>15374.999999999998</v>
      </c>
      <c r="Y236" s="13">
        <f t="shared" si="71"/>
        <v>1.0499999999999998</v>
      </c>
      <c r="Z236" s="11">
        <f t="shared" si="72"/>
        <v>0</v>
      </c>
      <c r="AA236" s="10" t="s">
        <v>857</v>
      </c>
      <c r="AB236" s="10" t="s">
        <v>858</v>
      </c>
      <c r="AC236" s="10"/>
    </row>
    <row r="237" spans="1:29" x14ac:dyDescent="0.3">
      <c r="A237" s="37">
        <v>539</v>
      </c>
      <c r="B237" s="37"/>
      <c r="C237" s="37">
        <v>5</v>
      </c>
      <c r="D237" s="37"/>
      <c r="E237" s="44">
        <v>3800</v>
      </c>
      <c r="F237" s="38">
        <f t="shared" si="62"/>
        <v>0</v>
      </c>
      <c r="G237" s="37"/>
      <c r="H237" s="38">
        <f t="shared" si="63"/>
        <v>0</v>
      </c>
      <c r="I237" s="66">
        <v>101</v>
      </c>
      <c r="J237" s="37" t="s">
        <v>19</v>
      </c>
      <c r="K237" s="37" t="s">
        <v>1960</v>
      </c>
      <c r="L237" s="37"/>
      <c r="M237" s="37"/>
      <c r="N237" s="36" t="s">
        <v>868</v>
      </c>
      <c r="O237" s="37"/>
      <c r="P237" s="44">
        <v>6000</v>
      </c>
      <c r="Q237" s="45">
        <f t="shared" si="67"/>
        <v>0.57894736842105265</v>
      </c>
      <c r="R237" s="46">
        <f t="shared" si="68"/>
        <v>0</v>
      </c>
      <c r="S237" s="37"/>
      <c r="T237" s="44">
        <f>E237*1.8</f>
        <v>6840</v>
      </c>
      <c r="U237" s="45">
        <f t="shared" si="69"/>
        <v>0.8</v>
      </c>
      <c r="V237" s="38">
        <f t="shared" si="70"/>
        <v>0</v>
      </c>
      <c r="W237" s="37"/>
      <c r="X237" s="44">
        <f>E237*2.05</f>
        <v>7789.9999999999991</v>
      </c>
      <c r="Y237" s="45">
        <f t="shared" si="71"/>
        <v>1.0499999999999998</v>
      </c>
      <c r="Z237" s="38">
        <f t="shared" si="72"/>
        <v>0</v>
      </c>
      <c r="AA237" s="37" t="s">
        <v>869</v>
      </c>
      <c r="AB237" s="37" t="s">
        <v>870</v>
      </c>
      <c r="AC237" s="37"/>
    </row>
    <row r="238" spans="1:29" x14ac:dyDescent="0.3">
      <c r="A238" s="10">
        <v>286</v>
      </c>
      <c r="B238" s="2"/>
      <c r="C238" s="2">
        <v>1</v>
      </c>
      <c r="D238" s="10"/>
      <c r="E238" s="40">
        <v>1780</v>
      </c>
      <c r="F238" s="11">
        <f t="shared" si="62"/>
        <v>0</v>
      </c>
      <c r="G238" s="10"/>
      <c r="H238" s="11">
        <f t="shared" si="63"/>
        <v>0</v>
      </c>
      <c r="I238" s="67">
        <v>102</v>
      </c>
      <c r="J238" s="10" t="s">
        <v>445</v>
      </c>
      <c r="K238" s="10"/>
      <c r="L238" s="10"/>
      <c r="M238" s="10"/>
      <c r="N238" s="12" t="s">
        <v>859</v>
      </c>
      <c r="O238" s="10"/>
      <c r="P238" s="58">
        <v>2800</v>
      </c>
      <c r="Q238" s="13">
        <f t="shared" si="67"/>
        <v>0.5730337078651685</v>
      </c>
      <c r="R238" s="11">
        <f t="shared" si="68"/>
        <v>0</v>
      </c>
      <c r="S238" s="10"/>
      <c r="T238" s="58">
        <f>E238*1.8</f>
        <v>3204</v>
      </c>
      <c r="U238" s="13">
        <f t="shared" si="69"/>
        <v>0.8</v>
      </c>
      <c r="V238" s="11">
        <f t="shared" si="70"/>
        <v>0</v>
      </c>
      <c r="W238" s="10"/>
      <c r="X238" s="58">
        <f>E238*2.05</f>
        <v>3648.9999999999995</v>
      </c>
      <c r="Y238" s="13">
        <f t="shared" si="71"/>
        <v>1.0499999999999998</v>
      </c>
      <c r="Z238" s="11">
        <f t="shared" si="72"/>
        <v>0</v>
      </c>
      <c r="AA238" s="10" t="s">
        <v>860</v>
      </c>
      <c r="AB238" s="10" t="s">
        <v>861</v>
      </c>
      <c r="AC238" s="2"/>
    </row>
    <row r="239" spans="1:29" x14ac:dyDescent="0.3">
      <c r="A239" s="10">
        <v>233</v>
      </c>
      <c r="B239" s="2"/>
      <c r="C239" s="2">
        <v>1</v>
      </c>
      <c r="D239" s="10"/>
      <c r="E239" s="40">
        <v>5950</v>
      </c>
      <c r="F239" s="11">
        <f t="shared" si="62"/>
        <v>0</v>
      </c>
      <c r="G239" s="10"/>
      <c r="H239" s="11">
        <f t="shared" si="63"/>
        <v>0</v>
      </c>
      <c r="I239" s="66">
        <v>103</v>
      </c>
      <c r="J239" s="10" t="s">
        <v>397</v>
      </c>
      <c r="K239" s="10"/>
      <c r="L239" s="10"/>
      <c r="M239" s="10"/>
      <c r="N239" s="12" t="s">
        <v>862</v>
      </c>
      <c r="O239" s="10"/>
      <c r="P239" s="58">
        <v>9500</v>
      </c>
      <c r="Q239" s="13">
        <f t="shared" si="67"/>
        <v>0.59663865546218486</v>
      </c>
      <c r="R239" s="11">
        <f t="shared" si="68"/>
        <v>0</v>
      </c>
      <c r="S239" s="10"/>
      <c r="T239" s="58">
        <f>E239*1.8</f>
        <v>10710</v>
      </c>
      <c r="U239" s="13">
        <f t="shared" si="69"/>
        <v>0.8</v>
      </c>
      <c r="V239" s="11">
        <f t="shared" si="70"/>
        <v>0</v>
      </c>
      <c r="W239" s="10"/>
      <c r="X239" s="58">
        <f>E239*2.05</f>
        <v>12197.499999999998</v>
      </c>
      <c r="Y239" s="13">
        <f t="shared" si="71"/>
        <v>1.0499999999999996</v>
      </c>
      <c r="Z239" s="11">
        <f t="shared" si="72"/>
        <v>0</v>
      </c>
      <c r="AA239" s="10" t="s">
        <v>863</v>
      </c>
      <c r="AB239" s="10" t="s">
        <v>864</v>
      </c>
      <c r="AC239" s="2"/>
    </row>
    <row r="240" spans="1:29" x14ac:dyDescent="0.3">
      <c r="A240" s="5">
        <v>58</v>
      </c>
      <c r="B240" s="5">
        <v>92</v>
      </c>
      <c r="C240" s="5">
        <v>3</v>
      </c>
      <c r="D240" s="5">
        <v>3</v>
      </c>
      <c r="E240" s="41">
        <v>3900</v>
      </c>
      <c r="F240" s="29">
        <f t="shared" si="62"/>
        <v>11700</v>
      </c>
      <c r="G240" s="5"/>
      <c r="H240" s="29">
        <f t="shared" si="63"/>
        <v>0</v>
      </c>
      <c r="I240" s="67">
        <v>104</v>
      </c>
      <c r="J240" s="5" t="s">
        <v>117</v>
      </c>
      <c r="K240" s="5"/>
      <c r="L240" s="5"/>
      <c r="M240" s="5"/>
      <c r="N240" s="6" t="s">
        <v>865</v>
      </c>
      <c r="O240" s="5">
        <v>3</v>
      </c>
      <c r="P240" s="59">
        <v>6200</v>
      </c>
      <c r="Q240" s="33">
        <f t="shared" si="67"/>
        <v>0.58974358974358976</v>
      </c>
      <c r="R240" s="29">
        <f t="shared" si="68"/>
        <v>18600</v>
      </c>
      <c r="S240" s="5"/>
      <c r="T240" s="41">
        <v>7000</v>
      </c>
      <c r="U240" s="33">
        <f t="shared" si="69"/>
        <v>0.79487179487179482</v>
      </c>
      <c r="V240" s="29">
        <f t="shared" si="70"/>
        <v>0</v>
      </c>
      <c r="W240" s="5"/>
      <c r="X240" s="41">
        <v>9000</v>
      </c>
      <c r="Y240" s="33">
        <f t="shared" si="71"/>
        <v>1.3076923076923077</v>
      </c>
      <c r="Z240" s="29">
        <f t="shared" si="72"/>
        <v>0</v>
      </c>
      <c r="AA240" s="5" t="s">
        <v>866</v>
      </c>
      <c r="AB240" s="5" t="s">
        <v>867</v>
      </c>
      <c r="AC240" s="5"/>
    </row>
    <row r="241" spans="1:29" x14ac:dyDescent="0.3">
      <c r="A241" s="37">
        <v>540</v>
      </c>
      <c r="B241" s="37"/>
      <c r="C241" s="37">
        <v>5</v>
      </c>
      <c r="D241" s="37"/>
      <c r="E241" s="44">
        <v>8500</v>
      </c>
      <c r="F241" s="38">
        <f t="shared" si="62"/>
        <v>0</v>
      </c>
      <c r="G241" s="37"/>
      <c r="H241" s="38">
        <f t="shared" si="63"/>
        <v>0</v>
      </c>
      <c r="I241" s="66">
        <v>105</v>
      </c>
      <c r="J241" s="37" t="s">
        <v>445</v>
      </c>
      <c r="K241" s="37" t="s">
        <v>1960</v>
      </c>
      <c r="L241" s="37"/>
      <c r="M241" s="37"/>
      <c r="N241" s="36" t="s">
        <v>875</v>
      </c>
      <c r="O241" s="37"/>
      <c r="P241" s="44">
        <v>13600</v>
      </c>
      <c r="Q241" s="45">
        <f t="shared" si="67"/>
        <v>0.6</v>
      </c>
      <c r="R241" s="46">
        <f t="shared" si="68"/>
        <v>0</v>
      </c>
      <c r="S241" s="37"/>
      <c r="T241" s="44">
        <f t="shared" ref="T241:T268" si="75">E241*1.8</f>
        <v>15300</v>
      </c>
      <c r="U241" s="45">
        <f t="shared" si="69"/>
        <v>0.8</v>
      </c>
      <c r="V241" s="38">
        <f t="shared" si="70"/>
        <v>0</v>
      </c>
      <c r="W241" s="37"/>
      <c r="X241" s="44">
        <f t="shared" ref="X241:X268" si="76">E241*2.05</f>
        <v>17425</v>
      </c>
      <c r="Y241" s="45">
        <f t="shared" si="71"/>
        <v>1.05</v>
      </c>
      <c r="Z241" s="38">
        <f t="shared" si="72"/>
        <v>0</v>
      </c>
      <c r="AA241" s="37" t="s">
        <v>876</v>
      </c>
      <c r="AB241" s="37" t="s">
        <v>877</v>
      </c>
      <c r="AC241" s="37"/>
    </row>
    <row r="242" spans="1:29" x14ac:dyDescent="0.3">
      <c r="A242" s="10">
        <v>292</v>
      </c>
      <c r="B242" s="2"/>
      <c r="C242" s="2">
        <v>1</v>
      </c>
      <c r="D242" s="10"/>
      <c r="E242" s="40">
        <v>14690</v>
      </c>
      <c r="F242" s="11">
        <f t="shared" si="62"/>
        <v>0</v>
      </c>
      <c r="G242" s="10"/>
      <c r="H242" s="11">
        <f t="shared" si="63"/>
        <v>0</v>
      </c>
      <c r="I242" s="67">
        <v>106</v>
      </c>
      <c r="J242" s="10" t="s">
        <v>445</v>
      </c>
      <c r="K242" s="10"/>
      <c r="L242" s="10"/>
      <c r="M242" s="10"/>
      <c r="N242" s="12" t="s">
        <v>871</v>
      </c>
      <c r="O242" s="10"/>
      <c r="P242" s="58">
        <v>23500</v>
      </c>
      <c r="Q242" s="13">
        <f t="shared" si="67"/>
        <v>0.59972770592239621</v>
      </c>
      <c r="R242" s="11">
        <f t="shared" si="68"/>
        <v>0</v>
      </c>
      <c r="S242" s="10"/>
      <c r="T242" s="58">
        <f t="shared" si="75"/>
        <v>26442</v>
      </c>
      <c r="U242" s="13">
        <f t="shared" si="69"/>
        <v>0.8</v>
      </c>
      <c r="V242" s="11">
        <f t="shared" si="70"/>
        <v>0</v>
      </c>
      <c r="W242" s="10"/>
      <c r="X242" s="58">
        <f t="shared" si="76"/>
        <v>30114.499999999996</v>
      </c>
      <c r="Y242" s="13">
        <f t="shared" si="71"/>
        <v>1.0499999999999998</v>
      </c>
      <c r="Z242" s="11">
        <f t="shared" si="72"/>
        <v>0</v>
      </c>
      <c r="AA242" s="10" t="s">
        <v>872</v>
      </c>
      <c r="AB242" s="10" t="s">
        <v>873</v>
      </c>
      <c r="AC242" s="2" t="s">
        <v>874</v>
      </c>
    </row>
    <row r="243" spans="1:29" x14ac:dyDescent="0.3">
      <c r="A243" s="10">
        <v>310</v>
      </c>
      <c r="B243" s="2"/>
      <c r="C243" s="2">
        <v>1</v>
      </c>
      <c r="D243" s="10"/>
      <c r="E243" s="40">
        <v>17500</v>
      </c>
      <c r="F243" s="11">
        <f t="shared" si="62"/>
        <v>0</v>
      </c>
      <c r="G243" s="10"/>
      <c r="H243" s="11">
        <f t="shared" si="63"/>
        <v>0</v>
      </c>
      <c r="I243" s="66">
        <v>107</v>
      </c>
      <c r="J243" s="10" t="s">
        <v>445</v>
      </c>
      <c r="K243" s="10"/>
      <c r="L243" s="10"/>
      <c r="M243" s="10"/>
      <c r="N243" s="12" t="s">
        <v>878</v>
      </c>
      <c r="O243" s="10"/>
      <c r="P243" s="58">
        <v>28000</v>
      </c>
      <c r="Q243" s="13">
        <f t="shared" si="67"/>
        <v>0.6</v>
      </c>
      <c r="R243" s="11">
        <f t="shared" si="68"/>
        <v>0</v>
      </c>
      <c r="S243" s="10"/>
      <c r="T243" s="58">
        <f t="shared" si="75"/>
        <v>31500</v>
      </c>
      <c r="U243" s="13">
        <f t="shared" si="69"/>
        <v>0.8</v>
      </c>
      <c r="V243" s="11">
        <f t="shared" si="70"/>
        <v>0</v>
      </c>
      <c r="W243" s="10"/>
      <c r="X243" s="58">
        <f t="shared" si="76"/>
        <v>35875</v>
      </c>
      <c r="Y243" s="13">
        <f t="shared" si="71"/>
        <v>1.05</v>
      </c>
      <c r="Z243" s="11">
        <f t="shared" si="72"/>
        <v>0</v>
      </c>
      <c r="AA243" s="10" t="s">
        <v>879</v>
      </c>
      <c r="AB243" s="10" t="s">
        <v>880</v>
      </c>
      <c r="AC243" s="2" t="s">
        <v>881</v>
      </c>
    </row>
    <row r="244" spans="1:29" x14ac:dyDescent="0.3">
      <c r="A244" s="10">
        <v>311</v>
      </c>
      <c r="B244" s="2"/>
      <c r="C244" s="2">
        <v>1</v>
      </c>
      <c r="D244" s="10"/>
      <c r="E244" s="40">
        <v>20800</v>
      </c>
      <c r="F244" s="11">
        <f t="shared" si="62"/>
        <v>0</v>
      </c>
      <c r="G244" s="10"/>
      <c r="H244" s="11">
        <f t="shared" si="63"/>
        <v>0</v>
      </c>
      <c r="I244" s="67">
        <v>108</v>
      </c>
      <c r="J244" s="10" t="s">
        <v>445</v>
      </c>
      <c r="K244" s="10"/>
      <c r="L244" s="10"/>
      <c r="M244" s="10"/>
      <c r="N244" s="12" t="s">
        <v>882</v>
      </c>
      <c r="O244" s="10"/>
      <c r="P244" s="58">
        <v>33200</v>
      </c>
      <c r="Q244" s="13">
        <f t="shared" si="67"/>
        <v>0.59615384615384615</v>
      </c>
      <c r="R244" s="11">
        <f t="shared" si="68"/>
        <v>0</v>
      </c>
      <c r="S244" s="10"/>
      <c r="T244" s="58">
        <f t="shared" si="75"/>
        <v>37440</v>
      </c>
      <c r="U244" s="13">
        <f t="shared" si="69"/>
        <v>0.8</v>
      </c>
      <c r="V244" s="11">
        <f t="shared" si="70"/>
        <v>0</v>
      </c>
      <c r="W244" s="10"/>
      <c r="X244" s="58">
        <f t="shared" si="76"/>
        <v>42639.999999999993</v>
      </c>
      <c r="Y244" s="13">
        <f t="shared" si="71"/>
        <v>1.0499999999999996</v>
      </c>
      <c r="Z244" s="11">
        <f t="shared" si="72"/>
        <v>0</v>
      </c>
      <c r="AA244" s="10" t="s">
        <v>883</v>
      </c>
      <c r="AB244" s="10" t="s">
        <v>884</v>
      </c>
      <c r="AC244" s="2"/>
    </row>
    <row r="245" spans="1:29" x14ac:dyDescent="0.3">
      <c r="A245" s="10">
        <v>293</v>
      </c>
      <c r="B245" s="2"/>
      <c r="C245" s="2">
        <v>1</v>
      </c>
      <c r="D245" s="10"/>
      <c r="E245" s="40">
        <v>25900</v>
      </c>
      <c r="F245" s="11">
        <f t="shared" si="62"/>
        <v>0</v>
      </c>
      <c r="G245" s="10"/>
      <c r="H245" s="11">
        <f t="shared" si="63"/>
        <v>0</v>
      </c>
      <c r="I245" s="66">
        <v>109</v>
      </c>
      <c r="J245" s="10" t="s">
        <v>445</v>
      </c>
      <c r="K245" s="10"/>
      <c r="L245" s="10"/>
      <c r="M245" s="10"/>
      <c r="N245" s="12" t="s">
        <v>885</v>
      </c>
      <c r="O245" s="10"/>
      <c r="P245" s="58">
        <v>41400</v>
      </c>
      <c r="Q245" s="13">
        <f t="shared" si="67"/>
        <v>0.59845559845559848</v>
      </c>
      <c r="R245" s="11">
        <f t="shared" si="68"/>
        <v>0</v>
      </c>
      <c r="S245" s="10"/>
      <c r="T245" s="58">
        <f t="shared" si="75"/>
        <v>46620</v>
      </c>
      <c r="U245" s="13">
        <f t="shared" si="69"/>
        <v>0.8</v>
      </c>
      <c r="V245" s="11">
        <f t="shared" si="70"/>
        <v>0</v>
      </c>
      <c r="W245" s="10"/>
      <c r="X245" s="58">
        <f t="shared" si="76"/>
        <v>53094.999999999993</v>
      </c>
      <c r="Y245" s="13">
        <f t="shared" si="71"/>
        <v>1.0499999999999998</v>
      </c>
      <c r="Z245" s="11">
        <f t="shared" si="72"/>
        <v>0</v>
      </c>
      <c r="AA245" s="10" t="s">
        <v>886</v>
      </c>
      <c r="AB245" s="10" t="s">
        <v>887</v>
      </c>
      <c r="AC245" s="2" t="s">
        <v>888</v>
      </c>
    </row>
    <row r="246" spans="1:29" x14ac:dyDescent="0.3">
      <c r="A246" s="10">
        <v>307</v>
      </c>
      <c r="B246" s="2"/>
      <c r="C246" s="2">
        <v>1</v>
      </c>
      <c r="D246" s="10"/>
      <c r="E246" s="40">
        <v>7999</v>
      </c>
      <c r="F246" s="11">
        <f t="shared" si="62"/>
        <v>0</v>
      </c>
      <c r="G246" s="10"/>
      <c r="H246" s="11">
        <f t="shared" si="63"/>
        <v>0</v>
      </c>
      <c r="I246" s="67">
        <v>110</v>
      </c>
      <c r="J246" s="10" t="s">
        <v>445</v>
      </c>
      <c r="K246" s="10"/>
      <c r="L246" s="10"/>
      <c r="M246" s="10"/>
      <c r="N246" s="12" t="s">
        <v>889</v>
      </c>
      <c r="O246" s="10"/>
      <c r="P246" s="58">
        <v>12700</v>
      </c>
      <c r="Q246" s="13">
        <f t="shared" si="67"/>
        <v>0.58769846230778844</v>
      </c>
      <c r="R246" s="11">
        <f t="shared" si="68"/>
        <v>0</v>
      </c>
      <c r="S246" s="10"/>
      <c r="T246" s="58">
        <f t="shared" si="75"/>
        <v>14398.2</v>
      </c>
      <c r="U246" s="13">
        <f t="shared" si="69"/>
        <v>0.8</v>
      </c>
      <c r="V246" s="11">
        <f t="shared" si="70"/>
        <v>0</v>
      </c>
      <c r="W246" s="10"/>
      <c r="X246" s="58">
        <f t="shared" si="76"/>
        <v>16397.949999999997</v>
      </c>
      <c r="Y246" s="13">
        <f t="shared" si="71"/>
        <v>1.0499999999999996</v>
      </c>
      <c r="Z246" s="11">
        <f t="shared" si="72"/>
        <v>0</v>
      </c>
      <c r="AA246" s="10" t="s">
        <v>890</v>
      </c>
      <c r="AB246" s="10" t="s">
        <v>891</v>
      </c>
      <c r="AC246" s="2" t="s">
        <v>892</v>
      </c>
    </row>
    <row r="247" spans="1:29" x14ac:dyDescent="0.3">
      <c r="A247" s="10">
        <v>308</v>
      </c>
      <c r="B247" s="2"/>
      <c r="C247" s="2">
        <v>1</v>
      </c>
      <c r="D247" s="10"/>
      <c r="E247" s="40">
        <v>14699</v>
      </c>
      <c r="F247" s="11">
        <f t="shared" si="62"/>
        <v>0</v>
      </c>
      <c r="G247" s="10"/>
      <c r="H247" s="11">
        <f t="shared" si="63"/>
        <v>0</v>
      </c>
      <c r="I247" s="66">
        <v>111</v>
      </c>
      <c r="J247" s="10" t="s">
        <v>445</v>
      </c>
      <c r="K247" s="10"/>
      <c r="L247" s="10"/>
      <c r="M247" s="10"/>
      <c r="N247" s="12" t="s">
        <v>893</v>
      </c>
      <c r="O247" s="10"/>
      <c r="P247" s="58">
        <v>23500</v>
      </c>
      <c r="Q247" s="13">
        <f t="shared" si="67"/>
        <v>0.59874821416422885</v>
      </c>
      <c r="R247" s="11">
        <f t="shared" si="68"/>
        <v>0</v>
      </c>
      <c r="S247" s="10"/>
      <c r="T247" s="58">
        <f t="shared" si="75"/>
        <v>26458.2</v>
      </c>
      <c r="U247" s="13">
        <f t="shared" si="69"/>
        <v>0.8</v>
      </c>
      <c r="V247" s="11">
        <f t="shared" si="70"/>
        <v>0</v>
      </c>
      <c r="W247" s="10"/>
      <c r="X247" s="58">
        <f t="shared" si="76"/>
        <v>30132.949999999997</v>
      </c>
      <c r="Y247" s="13">
        <f t="shared" si="71"/>
        <v>1.0499999999999998</v>
      </c>
      <c r="Z247" s="11">
        <f t="shared" si="72"/>
        <v>0</v>
      </c>
      <c r="AA247" s="10" t="s">
        <v>894</v>
      </c>
      <c r="AB247" s="10" t="s">
        <v>895</v>
      </c>
      <c r="AC247" s="2" t="s">
        <v>896</v>
      </c>
    </row>
    <row r="248" spans="1:29" x14ac:dyDescent="0.3">
      <c r="A248" s="10">
        <v>309</v>
      </c>
      <c r="B248" s="2"/>
      <c r="C248" s="2">
        <v>1</v>
      </c>
      <c r="D248" s="10"/>
      <c r="E248" s="40">
        <v>22500</v>
      </c>
      <c r="F248" s="11">
        <f t="shared" si="62"/>
        <v>0</v>
      </c>
      <c r="G248" s="10"/>
      <c r="H248" s="11">
        <f t="shared" si="63"/>
        <v>0</v>
      </c>
      <c r="I248" s="67">
        <v>112</v>
      </c>
      <c r="J248" s="10" t="s">
        <v>445</v>
      </c>
      <c r="K248" s="10"/>
      <c r="L248" s="10"/>
      <c r="M248" s="10"/>
      <c r="N248" s="12" t="s">
        <v>897</v>
      </c>
      <c r="O248" s="10"/>
      <c r="P248" s="58">
        <v>36000</v>
      </c>
      <c r="Q248" s="13">
        <f t="shared" si="67"/>
        <v>0.6</v>
      </c>
      <c r="R248" s="11">
        <f t="shared" si="68"/>
        <v>0</v>
      </c>
      <c r="S248" s="10"/>
      <c r="T248" s="58">
        <f t="shared" si="75"/>
        <v>40500</v>
      </c>
      <c r="U248" s="13">
        <f t="shared" si="69"/>
        <v>0.8</v>
      </c>
      <c r="V248" s="11">
        <f t="shared" si="70"/>
        <v>0</v>
      </c>
      <c r="W248" s="10"/>
      <c r="X248" s="58">
        <f t="shared" si="76"/>
        <v>46124.999999999993</v>
      </c>
      <c r="Y248" s="13">
        <f t="shared" si="71"/>
        <v>1.0499999999999996</v>
      </c>
      <c r="Z248" s="11">
        <f t="shared" si="72"/>
        <v>0</v>
      </c>
      <c r="AA248" s="10" t="s">
        <v>898</v>
      </c>
      <c r="AB248" s="10" t="s">
        <v>899</v>
      </c>
      <c r="AC248" s="2" t="s">
        <v>896</v>
      </c>
    </row>
    <row r="249" spans="1:29" x14ac:dyDescent="0.3">
      <c r="A249" s="10">
        <v>312</v>
      </c>
      <c r="B249" s="2"/>
      <c r="C249" s="2">
        <v>1</v>
      </c>
      <c r="D249" s="10"/>
      <c r="E249" s="40">
        <v>20999</v>
      </c>
      <c r="F249" s="11">
        <f t="shared" si="62"/>
        <v>0</v>
      </c>
      <c r="G249" s="10"/>
      <c r="H249" s="11">
        <f t="shared" si="63"/>
        <v>0</v>
      </c>
      <c r="I249" s="66">
        <v>113</v>
      </c>
      <c r="J249" s="10" t="s">
        <v>445</v>
      </c>
      <c r="K249" s="10"/>
      <c r="L249" s="10"/>
      <c r="M249" s="10"/>
      <c r="N249" s="12" t="s">
        <v>900</v>
      </c>
      <c r="O249" s="10"/>
      <c r="P249" s="58">
        <v>33500</v>
      </c>
      <c r="Q249" s="13">
        <f t="shared" si="67"/>
        <v>0.59531406257440833</v>
      </c>
      <c r="R249" s="11">
        <f t="shared" si="68"/>
        <v>0</v>
      </c>
      <c r="S249" s="10"/>
      <c r="T249" s="58">
        <f t="shared" si="75"/>
        <v>37798.200000000004</v>
      </c>
      <c r="U249" s="13">
        <f t="shared" si="69"/>
        <v>0.80000000000000016</v>
      </c>
      <c r="V249" s="11">
        <f t="shared" si="70"/>
        <v>0</v>
      </c>
      <c r="W249" s="10"/>
      <c r="X249" s="58">
        <f t="shared" si="76"/>
        <v>43047.95</v>
      </c>
      <c r="Y249" s="13">
        <f t="shared" si="71"/>
        <v>1.0499999999999998</v>
      </c>
      <c r="Z249" s="11">
        <f t="shared" si="72"/>
        <v>0</v>
      </c>
      <c r="AA249" s="10" t="s">
        <v>901</v>
      </c>
      <c r="AB249" s="10" t="s">
        <v>902</v>
      </c>
      <c r="AC249" s="2" t="s">
        <v>903</v>
      </c>
    </row>
    <row r="250" spans="1:29" x14ac:dyDescent="0.3">
      <c r="A250" s="37">
        <v>535</v>
      </c>
      <c r="B250" s="37"/>
      <c r="C250" s="37">
        <v>5</v>
      </c>
      <c r="D250" s="37"/>
      <c r="E250" s="44">
        <v>11000</v>
      </c>
      <c r="F250" s="38">
        <f t="shared" si="62"/>
        <v>0</v>
      </c>
      <c r="G250" s="37"/>
      <c r="H250" s="38">
        <f t="shared" si="63"/>
        <v>0</v>
      </c>
      <c r="I250" s="67">
        <v>114</v>
      </c>
      <c r="J250" s="37" t="s">
        <v>445</v>
      </c>
      <c r="K250" s="37" t="s">
        <v>1960</v>
      </c>
      <c r="L250" s="37"/>
      <c r="M250" s="37"/>
      <c r="N250" s="36" t="s">
        <v>918</v>
      </c>
      <c r="O250" s="37"/>
      <c r="P250" s="44">
        <v>17600</v>
      </c>
      <c r="Q250" s="45">
        <f t="shared" si="67"/>
        <v>0.6</v>
      </c>
      <c r="R250" s="46">
        <f t="shared" si="68"/>
        <v>0</v>
      </c>
      <c r="S250" s="37"/>
      <c r="T250" s="44">
        <f t="shared" si="75"/>
        <v>19800</v>
      </c>
      <c r="U250" s="45">
        <f t="shared" si="69"/>
        <v>0.8</v>
      </c>
      <c r="V250" s="38">
        <f t="shared" si="70"/>
        <v>0</v>
      </c>
      <c r="W250" s="37"/>
      <c r="X250" s="44">
        <f t="shared" si="76"/>
        <v>22549.999999999996</v>
      </c>
      <c r="Y250" s="45">
        <f t="shared" si="71"/>
        <v>1.0499999999999996</v>
      </c>
      <c r="Z250" s="38">
        <f t="shared" si="72"/>
        <v>0</v>
      </c>
      <c r="AA250" s="37" t="s">
        <v>919</v>
      </c>
      <c r="AB250" s="37" t="s">
        <v>920</v>
      </c>
      <c r="AC250" s="37"/>
    </row>
    <row r="251" spans="1:29" x14ac:dyDescent="0.3">
      <c r="A251" s="37">
        <v>536</v>
      </c>
      <c r="B251" s="37"/>
      <c r="C251" s="37">
        <v>5</v>
      </c>
      <c r="D251" s="37"/>
      <c r="E251" s="44">
        <v>17800</v>
      </c>
      <c r="F251" s="38">
        <f t="shared" si="62"/>
        <v>0</v>
      </c>
      <c r="G251" s="37"/>
      <c r="H251" s="38">
        <f t="shared" si="63"/>
        <v>0</v>
      </c>
      <c r="I251" s="66">
        <v>115</v>
      </c>
      <c r="J251" s="37" t="s">
        <v>445</v>
      </c>
      <c r="K251" s="37" t="s">
        <v>1960</v>
      </c>
      <c r="L251" s="37"/>
      <c r="M251" s="37"/>
      <c r="N251" s="36" t="s">
        <v>921</v>
      </c>
      <c r="O251" s="37"/>
      <c r="P251" s="44">
        <v>28400</v>
      </c>
      <c r="Q251" s="45">
        <f t="shared" si="67"/>
        <v>0.5955056179775281</v>
      </c>
      <c r="R251" s="46">
        <f t="shared" si="68"/>
        <v>0</v>
      </c>
      <c r="S251" s="37"/>
      <c r="T251" s="44">
        <f t="shared" si="75"/>
        <v>32040</v>
      </c>
      <c r="U251" s="45">
        <f t="shared" si="69"/>
        <v>0.8</v>
      </c>
      <c r="V251" s="38">
        <f t="shared" si="70"/>
        <v>0</v>
      </c>
      <c r="W251" s="37"/>
      <c r="X251" s="44">
        <f t="shared" si="76"/>
        <v>36490</v>
      </c>
      <c r="Y251" s="45">
        <f t="shared" si="71"/>
        <v>1.05</v>
      </c>
      <c r="Z251" s="38">
        <f t="shared" si="72"/>
        <v>0</v>
      </c>
      <c r="AA251" s="37" t="s">
        <v>922</v>
      </c>
      <c r="AB251" s="37" t="s">
        <v>923</v>
      </c>
      <c r="AC251" s="37"/>
    </row>
    <row r="252" spans="1:29" x14ac:dyDescent="0.3">
      <c r="A252" s="10">
        <v>284</v>
      </c>
      <c r="B252" s="2"/>
      <c r="C252" s="2">
        <v>1</v>
      </c>
      <c r="D252" s="10"/>
      <c r="E252" s="40">
        <v>16000</v>
      </c>
      <c r="F252" s="11">
        <f t="shared" si="62"/>
        <v>0</v>
      </c>
      <c r="G252" s="10"/>
      <c r="H252" s="11">
        <f t="shared" si="63"/>
        <v>0</v>
      </c>
      <c r="I252" s="67">
        <v>116</v>
      </c>
      <c r="J252" s="10" t="s">
        <v>445</v>
      </c>
      <c r="K252" s="10"/>
      <c r="L252" s="10"/>
      <c r="M252" s="10"/>
      <c r="N252" s="12" t="s">
        <v>904</v>
      </c>
      <c r="O252" s="10"/>
      <c r="P252" s="58">
        <v>25600</v>
      </c>
      <c r="Q252" s="13">
        <f t="shared" si="67"/>
        <v>0.6</v>
      </c>
      <c r="R252" s="11">
        <f t="shared" si="68"/>
        <v>0</v>
      </c>
      <c r="S252" s="10"/>
      <c r="T252" s="58">
        <f t="shared" si="75"/>
        <v>28800</v>
      </c>
      <c r="U252" s="13">
        <f t="shared" si="69"/>
        <v>0.8</v>
      </c>
      <c r="V252" s="11">
        <f t="shared" si="70"/>
        <v>0</v>
      </c>
      <c r="W252" s="10"/>
      <c r="X252" s="58">
        <f t="shared" si="76"/>
        <v>32800</v>
      </c>
      <c r="Y252" s="13">
        <f t="shared" si="71"/>
        <v>1.05</v>
      </c>
      <c r="Z252" s="11">
        <f t="shared" si="72"/>
        <v>0</v>
      </c>
      <c r="AA252" s="10" t="s">
        <v>905</v>
      </c>
      <c r="AB252" s="10" t="s">
        <v>906</v>
      </c>
      <c r="AC252" s="2"/>
    </row>
    <row r="253" spans="1:29" x14ac:dyDescent="0.3">
      <c r="A253" s="10">
        <v>285</v>
      </c>
      <c r="B253" s="2"/>
      <c r="C253" s="2">
        <v>1</v>
      </c>
      <c r="D253" s="10"/>
      <c r="E253" s="40">
        <v>15500</v>
      </c>
      <c r="F253" s="11">
        <f t="shared" si="62"/>
        <v>0</v>
      </c>
      <c r="G253" s="10"/>
      <c r="H253" s="11">
        <f t="shared" si="63"/>
        <v>0</v>
      </c>
      <c r="I253" s="66">
        <v>117</v>
      </c>
      <c r="J253" s="10" t="s">
        <v>445</v>
      </c>
      <c r="K253" s="10"/>
      <c r="L253" s="10"/>
      <c r="M253" s="10"/>
      <c r="N253" s="12" t="s">
        <v>907</v>
      </c>
      <c r="O253" s="10"/>
      <c r="P253" s="58">
        <v>24800</v>
      </c>
      <c r="Q253" s="13">
        <f t="shared" si="67"/>
        <v>0.6</v>
      </c>
      <c r="R253" s="11">
        <f t="shared" si="68"/>
        <v>0</v>
      </c>
      <c r="S253" s="10"/>
      <c r="T253" s="58">
        <f t="shared" si="75"/>
        <v>27900</v>
      </c>
      <c r="U253" s="13">
        <f t="shared" si="69"/>
        <v>0.8</v>
      </c>
      <c r="V253" s="11">
        <f t="shared" si="70"/>
        <v>0</v>
      </c>
      <c r="W253" s="10"/>
      <c r="X253" s="58">
        <f t="shared" si="76"/>
        <v>31774.999999999996</v>
      </c>
      <c r="Y253" s="13">
        <f t="shared" si="71"/>
        <v>1.0499999999999998</v>
      </c>
      <c r="Z253" s="11">
        <f t="shared" si="72"/>
        <v>0</v>
      </c>
      <c r="AA253" s="10" t="s">
        <v>908</v>
      </c>
      <c r="AB253" s="10" t="s">
        <v>909</v>
      </c>
      <c r="AC253" s="2" t="s">
        <v>910</v>
      </c>
    </row>
    <row r="254" spans="1:29" x14ac:dyDescent="0.3">
      <c r="A254" s="10">
        <v>294</v>
      </c>
      <c r="B254" s="2"/>
      <c r="C254" s="2">
        <v>1</v>
      </c>
      <c r="D254" s="10"/>
      <c r="E254" s="40">
        <v>16900</v>
      </c>
      <c r="F254" s="11">
        <f t="shared" si="62"/>
        <v>0</v>
      </c>
      <c r="G254" s="10"/>
      <c r="H254" s="11">
        <f t="shared" si="63"/>
        <v>0</v>
      </c>
      <c r="I254" s="67">
        <v>118</v>
      </c>
      <c r="J254" s="10" t="s">
        <v>445</v>
      </c>
      <c r="K254" s="10"/>
      <c r="L254" s="10"/>
      <c r="M254" s="10"/>
      <c r="N254" s="12" t="s">
        <v>911</v>
      </c>
      <c r="O254" s="10"/>
      <c r="P254" s="58">
        <v>27000</v>
      </c>
      <c r="Q254" s="13">
        <f t="shared" si="67"/>
        <v>0.59763313609467461</v>
      </c>
      <c r="R254" s="11">
        <f t="shared" si="68"/>
        <v>0</v>
      </c>
      <c r="S254" s="10"/>
      <c r="T254" s="58">
        <f t="shared" si="75"/>
        <v>30420</v>
      </c>
      <c r="U254" s="13">
        <f t="shared" si="69"/>
        <v>0.8</v>
      </c>
      <c r="V254" s="11">
        <f t="shared" si="70"/>
        <v>0</v>
      </c>
      <c r="W254" s="10"/>
      <c r="X254" s="58">
        <f t="shared" si="76"/>
        <v>34645</v>
      </c>
      <c r="Y254" s="13">
        <f t="shared" si="71"/>
        <v>1.05</v>
      </c>
      <c r="Z254" s="11">
        <f t="shared" si="72"/>
        <v>0</v>
      </c>
      <c r="AA254" s="10" t="s">
        <v>912</v>
      </c>
      <c r="AB254" s="10" t="s">
        <v>913</v>
      </c>
      <c r="AC254" s="2"/>
    </row>
    <row r="255" spans="1:29" x14ac:dyDescent="0.3">
      <c r="A255" s="10">
        <v>313</v>
      </c>
      <c r="B255" s="2"/>
      <c r="C255" s="2">
        <v>1</v>
      </c>
      <c r="D255" s="10"/>
      <c r="E255" s="40">
        <v>40999</v>
      </c>
      <c r="F255" s="11">
        <f t="shared" si="62"/>
        <v>0</v>
      </c>
      <c r="G255" s="10"/>
      <c r="H255" s="11">
        <f t="shared" si="63"/>
        <v>0</v>
      </c>
      <c r="I255" s="66">
        <v>119</v>
      </c>
      <c r="J255" s="10" t="s">
        <v>445</v>
      </c>
      <c r="K255" s="10"/>
      <c r="L255" s="10"/>
      <c r="M255" s="10"/>
      <c r="N255" s="12" t="s">
        <v>914</v>
      </c>
      <c r="O255" s="10"/>
      <c r="P255" s="58">
        <v>65500</v>
      </c>
      <c r="Q255" s="13">
        <f t="shared" si="67"/>
        <v>0.59759994146198692</v>
      </c>
      <c r="R255" s="11">
        <f t="shared" si="68"/>
        <v>0</v>
      </c>
      <c r="S255" s="10"/>
      <c r="T255" s="58">
        <f t="shared" si="75"/>
        <v>73798.2</v>
      </c>
      <c r="U255" s="13">
        <f t="shared" si="69"/>
        <v>0.79999999999999993</v>
      </c>
      <c r="V255" s="11">
        <f t="shared" si="70"/>
        <v>0</v>
      </c>
      <c r="W255" s="10"/>
      <c r="X255" s="58">
        <f t="shared" si="76"/>
        <v>84047.95</v>
      </c>
      <c r="Y255" s="13">
        <f t="shared" si="71"/>
        <v>1.0499999999999998</v>
      </c>
      <c r="Z255" s="11">
        <f t="shared" si="72"/>
        <v>0</v>
      </c>
      <c r="AA255" s="10" t="s">
        <v>915</v>
      </c>
      <c r="AB255" s="10" t="s">
        <v>916</v>
      </c>
      <c r="AC255" s="2" t="s">
        <v>917</v>
      </c>
    </row>
    <row r="256" spans="1:29" x14ac:dyDescent="0.3">
      <c r="A256" s="10">
        <v>230</v>
      </c>
      <c r="B256" s="2"/>
      <c r="C256" s="2">
        <v>1</v>
      </c>
      <c r="D256" s="10"/>
      <c r="E256" s="40">
        <v>2500</v>
      </c>
      <c r="F256" s="11">
        <f t="shared" si="62"/>
        <v>0</v>
      </c>
      <c r="G256" s="10"/>
      <c r="H256" s="11">
        <f t="shared" si="63"/>
        <v>0</v>
      </c>
      <c r="I256" s="67">
        <v>120</v>
      </c>
      <c r="J256" s="10" t="s">
        <v>397</v>
      </c>
      <c r="K256" s="10"/>
      <c r="L256" s="10"/>
      <c r="M256" s="10"/>
      <c r="N256" s="12" t="s">
        <v>924</v>
      </c>
      <c r="O256" s="10"/>
      <c r="P256" s="58">
        <v>4000</v>
      </c>
      <c r="Q256" s="13">
        <f t="shared" si="67"/>
        <v>0.6</v>
      </c>
      <c r="R256" s="11">
        <f t="shared" si="68"/>
        <v>0</v>
      </c>
      <c r="S256" s="10"/>
      <c r="T256" s="58">
        <f t="shared" si="75"/>
        <v>4500</v>
      </c>
      <c r="U256" s="13">
        <f t="shared" si="69"/>
        <v>0.8</v>
      </c>
      <c r="V256" s="11">
        <f t="shared" si="70"/>
        <v>0</v>
      </c>
      <c r="W256" s="10"/>
      <c r="X256" s="58">
        <f t="shared" si="76"/>
        <v>5125</v>
      </c>
      <c r="Y256" s="13">
        <f t="shared" si="71"/>
        <v>1.05</v>
      </c>
      <c r="Z256" s="11">
        <f t="shared" si="72"/>
        <v>0</v>
      </c>
      <c r="AA256" s="10" t="s">
        <v>925</v>
      </c>
      <c r="AB256" s="10" t="s">
        <v>926</v>
      </c>
      <c r="AC256" s="2"/>
    </row>
    <row r="257" spans="1:29" x14ac:dyDescent="0.3">
      <c r="A257" s="10">
        <v>287</v>
      </c>
      <c r="B257" s="2"/>
      <c r="C257" s="2">
        <v>1</v>
      </c>
      <c r="D257" s="10"/>
      <c r="E257" s="40">
        <v>5650</v>
      </c>
      <c r="F257" s="11">
        <f t="shared" si="62"/>
        <v>0</v>
      </c>
      <c r="G257" s="10"/>
      <c r="H257" s="11">
        <f t="shared" si="63"/>
        <v>0</v>
      </c>
      <c r="I257" s="66">
        <v>121</v>
      </c>
      <c r="J257" s="10" t="s">
        <v>445</v>
      </c>
      <c r="K257" s="10"/>
      <c r="L257" s="10"/>
      <c r="M257" s="10"/>
      <c r="N257" s="12" t="s">
        <v>927</v>
      </c>
      <c r="O257" s="10"/>
      <c r="P257" s="58">
        <v>9000</v>
      </c>
      <c r="Q257" s="13">
        <f t="shared" si="67"/>
        <v>0.59292035398230092</v>
      </c>
      <c r="R257" s="11">
        <f t="shared" si="68"/>
        <v>0</v>
      </c>
      <c r="S257" s="10"/>
      <c r="T257" s="58">
        <f t="shared" si="75"/>
        <v>10170</v>
      </c>
      <c r="U257" s="13">
        <f t="shared" si="69"/>
        <v>0.8</v>
      </c>
      <c r="V257" s="11">
        <f t="shared" si="70"/>
        <v>0</v>
      </c>
      <c r="W257" s="10"/>
      <c r="X257" s="58">
        <f t="shared" si="76"/>
        <v>11582.499999999998</v>
      </c>
      <c r="Y257" s="13">
        <f t="shared" si="71"/>
        <v>1.0499999999999996</v>
      </c>
      <c r="Z257" s="11">
        <f t="shared" si="72"/>
        <v>0</v>
      </c>
      <c r="AA257" s="10" t="s">
        <v>928</v>
      </c>
      <c r="AB257" s="10" t="s">
        <v>929</v>
      </c>
      <c r="AC257" s="2"/>
    </row>
    <row r="258" spans="1:29" x14ac:dyDescent="0.3">
      <c r="A258" s="10">
        <v>288</v>
      </c>
      <c r="B258" s="2"/>
      <c r="C258" s="2">
        <v>1</v>
      </c>
      <c r="D258" s="10"/>
      <c r="E258" s="40">
        <v>5650</v>
      </c>
      <c r="F258" s="11">
        <f t="shared" si="62"/>
        <v>0</v>
      </c>
      <c r="G258" s="10"/>
      <c r="H258" s="11">
        <f t="shared" si="63"/>
        <v>0</v>
      </c>
      <c r="I258" s="67">
        <v>122</v>
      </c>
      <c r="J258" s="10" t="s">
        <v>445</v>
      </c>
      <c r="K258" s="10"/>
      <c r="L258" s="10"/>
      <c r="M258" s="10"/>
      <c r="N258" s="12" t="s">
        <v>930</v>
      </c>
      <c r="O258" s="10"/>
      <c r="P258" s="58">
        <v>9000</v>
      </c>
      <c r="Q258" s="13">
        <f t="shared" si="67"/>
        <v>0.59292035398230092</v>
      </c>
      <c r="R258" s="11">
        <f t="shared" si="68"/>
        <v>0</v>
      </c>
      <c r="S258" s="10"/>
      <c r="T258" s="58">
        <f t="shared" si="75"/>
        <v>10170</v>
      </c>
      <c r="U258" s="13">
        <f t="shared" si="69"/>
        <v>0.8</v>
      </c>
      <c r="V258" s="11">
        <f t="shared" si="70"/>
        <v>0</v>
      </c>
      <c r="W258" s="10"/>
      <c r="X258" s="58">
        <f t="shared" si="76"/>
        <v>11582.499999999998</v>
      </c>
      <c r="Y258" s="13">
        <f t="shared" si="71"/>
        <v>1.0499999999999996</v>
      </c>
      <c r="Z258" s="11">
        <f t="shared" si="72"/>
        <v>0</v>
      </c>
      <c r="AA258" s="10" t="s">
        <v>931</v>
      </c>
      <c r="AB258" s="10" t="s">
        <v>932</v>
      </c>
      <c r="AC258" s="2"/>
    </row>
    <row r="259" spans="1:29" x14ac:dyDescent="0.3">
      <c r="A259" s="10">
        <v>232</v>
      </c>
      <c r="B259" s="2"/>
      <c r="C259" s="2">
        <v>1</v>
      </c>
      <c r="D259" s="10"/>
      <c r="E259" s="40">
        <v>2900</v>
      </c>
      <c r="F259" s="11">
        <f t="shared" si="62"/>
        <v>0</v>
      </c>
      <c r="G259" s="10"/>
      <c r="H259" s="11">
        <f t="shared" si="63"/>
        <v>0</v>
      </c>
      <c r="I259" s="66">
        <v>123</v>
      </c>
      <c r="J259" s="10" t="s">
        <v>397</v>
      </c>
      <c r="K259" s="10"/>
      <c r="L259" s="10"/>
      <c r="M259" s="10"/>
      <c r="N259" s="12" t="s">
        <v>933</v>
      </c>
      <c r="O259" s="10"/>
      <c r="P259" s="58">
        <v>4600</v>
      </c>
      <c r="Q259" s="13">
        <f t="shared" si="67"/>
        <v>0.58620689655172409</v>
      </c>
      <c r="R259" s="11">
        <f t="shared" si="68"/>
        <v>0</v>
      </c>
      <c r="S259" s="10"/>
      <c r="T259" s="58">
        <f t="shared" si="75"/>
        <v>5220</v>
      </c>
      <c r="U259" s="13">
        <f t="shared" si="69"/>
        <v>0.8</v>
      </c>
      <c r="V259" s="11">
        <f t="shared" si="70"/>
        <v>0</v>
      </c>
      <c r="W259" s="10"/>
      <c r="X259" s="58">
        <f t="shared" si="76"/>
        <v>5944.9999999999991</v>
      </c>
      <c r="Y259" s="13">
        <f t="shared" si="71"/>
        <v>1.0499999999999996</v>
      </c>
      <c r="Z259" s="11">
        <f t="shared" si="72"/>
        <v>0</v>
      </c>
      <c r="AA259" s="10" t="s">
        <v>934</v>
      </c>
      <c r="AB259" s="10" t="s">
        <v>935</v>
      </c>
      <c r="AC259" s="2"/>
    </row>
    <row r="260" spans="1:29" x14ac:dyDescent="0.3">
      <c r="A260" s="10">
        <v>295</v>
      </c>
      <c r="B260" s="2"/>
      <c r="C260" s="2">
        <v>1</v>
      </c>
      <c r="D260" s="10"/>
      <c r="E260" s="40">
        <v>4900</v>
      </c>
      <c r="F260" s="11">
        <f t="shared" si="62"/>
        <v>0</v>
      </c>
      <c r="G260" s="10"/>
      <c r="H260" s="11">
        <f t="shared" si="63"/>
        <v>0</v>
      </c>
      <c r="I260" s="67">
        <v>124</v>
      </c>
      <c r="J260" s="10" t="s">
        <v>445</v>
      </c>
      <c r="K260" s="10"/>
      <c r="L260" s="10"/>
      <c r="M260" s="10"/>
      <c r="N260" s="12" t="s">
        <v>936</v>
      </c>
      <c r="O260" s="10"/>
      <c r="P260" s="58">
        <v>7800</v>
      </c>
      <c r="Q260" s="13">
        <f t="shared" si="67"/>
        <v>0.59183673469387754</v>
      </c>
      <c r="R260" s="11">
        <f t="shared" si="68"/>
        <v>0</v>
      </c>
      <c r="S260" s="10"/>
      <c r="T260" s="58">
        <f t="shared" si="75"/>
        <v>8820</v>
      </c>
      <c r="U260" s="13">
        <f t="shared" si="69"/>
        <v>0.8</v>
      </c>
      <c r="V260" s="11">
        <f t="shared" si="70"/>
        <v>0</v>
      </c>
      <c r="W260" s="10"/>
      <c r="X260" s="58">
        <f t="shared" si="76"/>
        <v>10045</v>
      </c>
      <c r="Y260" s="13">
        <f t="shared" si="71"/>
        <v>1.05</v>
      </c>
      <c r="Z260" s="11">
        <f t="shared" si="72"/>
        <v>0</v>
      </c>
      <c r="AA260" s="10" t="s">
        <v>937</v>
      </c>
      <c r="AB260" s="10" t="s">
        <v>938</v>
      </c>
      <c r="AC260" s="2"/>
    </row>
    <row r="261" spans="1:29" x14ac:dyDescent="0.3">
      <c r="A261" s="10">
        <v>306</v>
      </c>
      <c r="B261" s="2"/>
      <c r="C261" s="2">
        <v>1</v>
      </c>
      <c r="D261" s="10"/>
      <c r="E261" s="40">
        <v>13200</v>
      </c>
      <c r="F261" s="11">
        <f t="shared" si="62"/>
        <v>0</v>
      </c>
      <c r="G261" s="10"/>
      <c r="H261" s="11">
        <f t="shared" si="63"/>
        <v>0</v>
      </c>
      <c r="I261" s="66">
        <v>125</v>
      </c>
      <c r="J261" s="10" t="s">
        <v>445</v>
      </c>
      <c r="K261" s="10"/>
      <c r="L261" s="10"/>
      <c r="M261" s="10"/>
      <c r="N261" s="12" t="s">
        <v>939</v>
      </c>
      <c r="O261" s="10"/>
      <c r="P261" s="58">
        <v>21100</v>
      </c>
      <c r="Q261" s="13">
        <f t="shared" si="67"/>
        <v>0.59848484848484851</v>
      </c>
      <c r="R261" s="11">
        <f t="shared" si="68"/>
        <v>0</v>
      </c>
      <c r="S261" s="10"/>
      <c r="T261" s="58">
        <f t="shared" si="75"/>
        <v>23760</v>
      </c>
      <c r="U261" s="13">
        <f t="shared" si="69"/>
        <v>0.8</v>
      </c>
      <c r="V261" s="11">
        <f t="shared" si="70"/>
        <v>0</v>
      </c>
      <c r="W261" s="10"/>
      <c r="X261" s="58">
        <f t="shared" si="76"/>
        <v>27059.999999999996</v>
      </c>
      <c r="Y261" s="13">
        <f t="shared" si="71"/>
        <v>1.0499999999999998</v>
      </c>
      <c r="Z261" s="11">
        <f t="shared" si="72"/>
        <v>0</v>
      </c>
      <c r="AA261" s="10" t="s">
        <v>940</v>
      </c>
      <c r="AB261" s="10" t="s">
        <v>941</v>
      </c>
      <c r="AC261" s="2"/>
    </row>
    <row r="262" spans="1:29" x14ac:dyDescent="0.3">
      <c r="A262" s="10">
        <v>85</v>
      </c>
      <c r="B262" s="2"/>
      <c r="C262" s="2">
        <v>1</v>
      </c>
      <c r="D262" s="10"/>
      <c r="E262" s="40">
        <v>17500</v>
      </c>
      <c r="F262" s="11">
        <f t="shared" si="62"/>
        <v>0</v>
      </c>
      <c r="G262" s="10"/>
      <c r="H262" s="11">
        <f t="shared" si="63"/>
        <v>0</v>
      </c>
      <c r="I262" s="67">
        <v>126</v>
      </c>
      <c r="J262" s="10" t="s">
        <v>19</v>
      </c>
      <c r="K262" s="10"/>
      <c r="L262" s="10"/>
      <c r="M262" s="10"/>
      <c r="N262" s="12" t="s">
        <v>942</v>
      </c>
      <c r="O262" s="10"/>
      <c r="P262" s="58">
        <v>28000</v>
      </c>
      <c r="Q262" s="13">
        <f t="shared" si="67"/>
        <v>0.6</v>
      </c>
      <c r="R262" s="11">
        <f t="shared" si="68"/>
        <v>0</v>
      </c>
      <c r="S262" s="10"/>
      <c r="T262" s="58">
        <f t="shared" si="75"/>
        <v>31500</v>
      </c>
      <c r="U262" s="13">
        <f t="shared" si="69"/>
        <v>0.8</v>
      </c>
      <c r="V262" s="11">
        <f t="shared" si="70"/>
        <v>0</v>
      </c>
      <c r="W262" s="10"/>
      <c r="X262" s="58">
        <f t="shared" si="76"/>
        <v>35875</v>
      </c>
      <c r="Y262" s="13">
        <f t="shared" si="71"/>
        <v>1.05</v>
      </c>
      <c r="Z262" s="11">
        <f t="shared" si="72"/>
        <v>0</v>
      </c>
      <c r="AA262" s="10" t="s">
        <v>943</v>
      </c>
      <c r="AB262" s="10" t="s">
        <v>944</v>
      </c>
      <c r="AC262" s="2"/>
    </row>
    <row r="263" spans="1:29" x14ac:dyDescent="0.3">
      <c r="A263" s="10">
        <v>314</v>
      </c>
      <c r="B263" s="2"/>
      <c r="C263" s="2">
        <v>1</v>
      </c>
      <c r="D263" s="10"/>
      <c r="E263" s="40">
        <v>8900</v>
      </c>
      <c r="F263" s="11">
        <f t="shared" si="62"/>
        <v>0</v>
      </c>
      <c r="G263" s="10"/>
      <c r="H263" s="11">
        <f t="shared" si="63"/>
        <v>0</v>
      </c>
      <c r="I263" s="66">
        <v>127</v>
      </c>
      <c r="J263" s="10" t="s">
        <v>445</v>
      </c>
      <c r="K263" s="10"/>
      <c r="L263" s="10"/>
      <c r="M263" s="10"/>
      <c r="N263" s="12" t="s">
        <v>945</v>
      </c>
      <c r="O263" s="10"/>
      <c r="P263" s="58">
        <v>14200</v>
      </c>
      <c r="Q263" s="13">
        <f t="shared" si="67"/>
        <v>0.5955056179775281</v>
      </c>
      <c r="R263" s="11">
        <f t="shared" si="68"/>
        <v>0</v>
      </c>
      <c r="S263" s="10"/>
      <c r="T263" s="58">
        <f t="shared" si="75"/>
        <v>16020</v>
      </c>
      <c r="U263" s="13">
        <f t="shared" si="69"/>
        <v>0.8</v>
      </c>
      <c r="V263" s="11">
        <f t="shared" si="70"/>
        <v>0</v>
      </c>
      <c r="W263" s="10"/>
      <c r="X263" s="58">
        <f t="shared" si="76"/>
        <v>18245</v>
      </c>
      <c r="Y263" s="13">
        <f t="shared" si="71"/>
        <v>1.05</v>
      </c>
      <c r="Z263" s="11">
        <f t="shared" si="72"/>
        <v>0</v>
      </c>
      <c r="AA263" s="10" t="s">
        <v>946</v>
      </c>
      <c r="AB263" s="10" t="s">
        <v>947</v>
      </c>
      <c r="AC263" s="2" t="s">
        <v>948</v>
      </c>
    </row>
    <row r="264" spans="1:29" x14ac:dyDescent="0.3">
      <c r="A264" s="10">
        <v>296</v>
      </c>
      <c r="B264" s="2"/>
      <c r="C264" s="2">
        <v>1</v>
      </c>
      <c r="D264" s="10"/>
      <c r="E264" s="40">
        <v>2700</v>
      </c>
      <c r="F264" s="11">
        <f t="shared" si="62"/>
        <v>0</v>
      </c>
      <c r="G264" s="10"/>
      <c r="H264" s="11">
        <f t="shared" si="63"/>
        <v>0</v>
      </c>
      <c r="I264" s="67">
        <v>128</v>
      </c>
      <c r="J264" s="10" t="s">
        <v>445</v>
      </c>
      <c r="K264" s="10"/>
      <c r="L264" s="10"/>
      <c r="M264" s="10"/>
      <c r="N264" s="12" t="s">
        <v>949</v>
      </c>
      <c r="O264" s="10"/>
      <c r="P264" s="58">
        <v>4300</v>
      </c>
      <c r="Q264" s="13">
        <f t="shared" si="67"/>
        <v>0.59259259259259256</v>
      </c>
      <c r="R264" s="11">
        <f t="shared" si="68"/>
        <v>0</v>
      </c>
      <c r="S264" s="10"/>
      <c r="T264" s="58">
        <f t="shared" si="75"/>
        <v>4860</v>
      </c>
      <c r="U264" s="13">
        <f t="shared" si="69"/>
        <v>0.8</v>
      </c>
      <c r="V264" s="11">
        <f t="shared" si="70"/>
        <v>0</v>
      </c>
      <c r="W264" s="10"/>
      <c r="X264" s="58">
        <f t="shared" si="76"/>
        <v>5534.9999999999991</v>
      </c>
      <c r="Y264" s="13">
        <f t="shared" si="71"/>
        <v>1.0499999999999996</v>
      </c>
      <c r="Z264" s="11">
        <f t="shared" si="72"/>
        <v>0</v>
      </c>
      <c r="AA264" s="10" t="s">
        <v>950</v>
      </c>
      <c r="AB264" s="10" t="s">
        <v>951</v>
      </c>
      <c r="AC264" s="2" t="s">
        <v>952</v>
      </c>
    </row>
    <row r="265" spans="1:29" x14ac:dyDescent="0.3">
      <c r="A265" s="10">
        <v>297</v>
      </c>
      <c r="B265" s="2"/>
      <c r="C265" s="2">
        <v>1</v>
      </c>
      <c r="D265" s="10"/>
      <c r="E265" s="40">
        <v>9900</v>
      </c>
      <c r="F265" s="11">
        <f t="shared" ref="F265:F328" si="77">D265*E265</f>
        <v>0</v>
      </c>
      <c r="G265" s="10"/>
      <c r="H265" s="11">
        <f t="shared" ref="H265:H328" si="78">E265*G265</f>
        <v>0</v>
      </c>
      <c r="I265" s="66">
        <v>129</v>
      </c>
      <c r="J265" s="10" t="s">
        <v>445</v>
      </c>
      <c r="K265" s="10"/>
      <c r="L265" s="10"/>
      <c r="M265" s="10"/>
      <c r="N265" s="12" t="s">
        <v>953</v>
      </c>
      <c r="O265" s="10"/>
      <c r="P265" s="58">
        <v>15800</v>
      </c>
      <c r="Q265" s="13">
        <f t="shared" si="67"/>
        <v>0.59595959595959591</v>
      </c>
      <c r="R265" s="11">
        <f t="shared" si="68"/>
        <v>0</v>
      </c>
      <c r="S265" s="10"/>
      <c r="T265" s="58">
        <f t="shared" si="75"/>
        <v>17820</v>
      </c>
      <c r="U265" s="13">
        <f t="shared" si="69"/>
        <v>0.8</v>
      </c>
      <c r="V265" s="11">
        <f t="shared" si="70"/>
        <v>0</v>
      </c>
      <c r="W265" s="10"/>
      <c r="X265" s="58">
        <f t="shared" si="76"/>
        <v>20295</v>
      </c>
      <c r="Y265" s="13">
        <f t="shared" si="71"/>
        <v>1.05</v>
      </c>
      <c r="Z265" s="11">
        <f t="shared" si="72"/>
        <v>0</v>
      </c>
      <c r="AA265" s="10" t="s">
        <v>954</v>
      </c>
      <c r="AB265" s="10" t="s">
        <v>955</v>
      </c>
      <c r="AC265" s="2" t="s">
        <v>956</v>
      </c>
    </row>
    <row r="266" spans="1:29" x14ac:dyDescent="0.3">
      <c r="A266" s="10">
        <v>298</v>
      </c>
      <c r="B266" s="2"/>
      <c r="C266" s="2">
        <v>1</v>
      </c>
      <c r="D266" s="10"/>
      <c r="E266" s="40">
        <v>9331</v>
      </c>
      <c r="F266" s="11">
        <f t="shared" si="77"/>
        <v>0</v>
      </c>
      <c r="G266" s="10"/>
      <c r="H266" s="11">
        <f t="shared" si="78"/>
        <v>0</v>
      </c>
      <c r="I266" s="67">
        <v>130</v>
      </c>
      <c r="J266" s="10" t="s">
        <v>445</v>
      </c>
      <c r="K266" s="10"/>
      <c r="L266" s="10"/>
      <c r="M266" s="10"/>
      <c r="N266" s="12" t="s">
        <v>957</v>
      </c>
      <c r="O266" s="10"/>
      <c r="P266" s="58">
        <v>14900</v>
      </c>
      <c r="Q266" s="13">
        <f t="shared" si="67"/>
        <v>0.5968277783731647</v>
      </c>
      <c r="R266" s="11">
        <f t="shared" si="68"/>
        <v>0</v>
      </c>
      <c r="S266" s="10"/>
      <c r="T266" s="58">
        <f t="shared" si="75"/>
        <v>16795.8</v>
      </c>
      <c r="U266" s="13">
        <f t="shared" si="69"/>
        <v>0.79999999999999993</v>
      </c>
      <c r="V266" s="11">
        <f t="shared" si="70"/>
        <v>0</v>
      </c>
      <c r="W266" s="10"/>
      <c r="X266" s="58">
        <f t="shared" si="76"/>
        <v>19128.55</v>
      </c>
      <c r="Y266" s="13">
        <f t="shared" si="71"/>
        <v>1.0499999999999998</v>
      </c>
      <c r="Z266" s="11">
        <f t="shared" si="72"/>
        <v>0</v>
      </c>
      <c r="AA266" s="10" t="s">
        <v>958</v>
      </c>
      <c r="AB266" s="10" t="s">
        <v>959</v>
      </c>
      <c r="AC266" s="2" t="s">
        <v>960</v>
      </c>
    </row>
    <row r="267" spans="1:29" x14ac:dyDescent="0.3">
      <c r="A267" s="10">
        <v>299</v>
      </c>
      <c r="B267" s="2"/>
      <c r="C267" s="2">
        <v>1</v>
      </c>
      <c r="D267" s="10"/>
      <c r="E267" s="40">
        <v>15900</v>
      </c>
      <c r="F267" s="11">
        <f t="shared" si="77"/>
        <v>0</v>
      </c>
      <c r="G267" s="10"/>
      <c r="H267" s="11">
        <f t="shared" si="78"/>
        <v>0</v>
      </c>
      <c r="I267" s="66">
        <v>131</v>
      </c>
      <c r="J267" s="10" t="s">
        <v>445</v>
      </c>
      <c r="K267" s="10"/>
      <c r="L267" s="10"/>
      <c r="M267" s="10"/>
      <c r="N267" s="12" t="s">
        <v>961</v>
      </c>
      <c r="O267" s="10"/>
      <c r="P267" s="58">
        <v>25400</v>
      </c>
      <c r="Q267" s="13">
        <f t="shared" si="67"/>
        <v>0.59748427672955973</v>
      </c>
      <c r="R267" s="11">
        <f t="shared" si="68"/>
        <v>0</v>
      </c>
      <c r="S267" s="10"/>
      <c r="T267" s="58">
        <f t="shared" si="75"/>
        <v>28620</v>
      </c>
      <c r="U267" s="13">
        <f t="shared" si="69"/>
        <v>0.8</v>
      </c>
      <c r="V267" s="11">
        <f t="shared" si="70"/>
        <v>0</v>
      </c>
      <c r="W267" s="10"/>
      <c r="X267" s="58">
        <f t="shared" si="76"/>
        <v>32594.999999999996</v>
      </c>
      <c r="Y267" s="13">
        <f t="shared" si="71"/>
        <v>1.0499999999999998</v>
      </c>
      <c r="Z267" s="11">
        <f t="shared" si="72"/>
        <v>0</v>
      </c>
      <c r="AA267" s="10" t="s">
        <v>962</v>
      </c>
      <c r="AB267" s="10" t="s">
        <v>963</v>
      </c>
      <c r="AC267" s="2" t="s">
        <v>964</v>
      </c>
    </row>
    <row r="268" spans="1:29" x14ac:dyDescent="0.3">
      <c r="A268" s="10">
        <v>205</v>
      </c>
      <c r="B268" s="2"/>
      <c r="C268" s="2">
        <v>1</v>
      </c>
      <c r="D268" s="10"/>
      <c r="E268" s="40">
        <v>1690</v>
      </c>
      <c r="F268" s="11">
        <f t="shared" si="77"/>
        <v>0</v>
      </c>
      <c r="G268" s="10"/>
      <c r="H268" s="11">
        <f t="shared" si="78"/>
        <v>0</v>
      </c>
      <c r="I268" s="67">
        <v>132</v>
      </c>
      <c r="J268" s="10" t="s">
        <v>445</v>
      </c>
      <c r="K268" s="10"/>
      <c r="L268" s="10"/>
      <c r="M268" s="10"/>
      <c r="N268" s="12" t="s">
        <v>965</v>
      </c>
      <c r="O268" s="10"/>
      <c r="P268" s="58">
        <v>2700</v>
      </c>
      <c r="Q268" s="13">
        <f t="shared" si="67"/>
        <v>0.59763313609467461</v>
      </c>
      <c r="R268" s="11">
        <f t="shared" si="68"/>
        <v>0</v>
      </c>
      <c r="S268" s="10"/>
      <c r="T268" s="58">
        <f t="shared" si="75"/>
        <v>3042</v>
      </c>
      <c r="U268" s="13">
        <f t="shared" si="69"/>
        <v>0.8</v>
      </c>
      <c r="V268" s="11">
        <f t="shared" si="70"/>
        <v>0</v>
      </c>
      <c r="W268" s="10"/>
      <c r="X268" s="58">
        <f t="shared" si="76"/>
        <v>3464.4999999999995</v>
      </c>
      <c r="Y268" s="13">
        <f t="shared" si="71"/>
        <v>1.0499999999999998</v>
      </c>
      <c r="Z268" s="11">
        <f t="shared" si="72"/>
        <v>0</v>
      </c>
      <c r="AA268" s="10" t="s">
        <v>966</v>
      </c>
      <c r="AB268" s="10" t="s">
        <v>967</v>
      </c>
      <c r="AC268" s="2" t="s">
        <v>968</v>
      </c>
    </row>
    <row r="269" spans="1:29" x14ac:dyDescent="0.3">
      <c r="A269" s="49">
        <v>57</v>
      </c>
      <c r="B269" s="49">
        <v>107</v>
      </c>
      <c r="C269" s="49">
        <v>4</v>
      </c>
      <c r="D269" s="49">
        <v>4</v>
      </c>
      <c r="E269" s="50">
        <v>4850</v>
      </c>
      <c r="F269" s="51">
        <f t="shared" si="77"/>
        <v>19400</v>
      </c>
      <c r="G269" s="49"/>
      <c r="H269" s="51">
        <f t="shared" si="78"/>
        <v>0</v>
      </c>
      <c r="I269" s="66">
        <v>133</v>
      </c>
      <c r="J269" s="51" t="s">
        <v>445</v>
      </c>
      <c r="K269" s="51"/>
      <c r="L269" s="51" t="s">
        <v>517</v>
      </c>
      <c r="M269" s="51" t="s">
        <v>518</v>
      </c>
      <c r="N269" s="52" t="s">
        <v>969</v>
      </c>
      <c r="O269" s="49">
        <v>4</v>
      </c>
      <c r="P269" s="71">
        <v>7500</v>
      </c>
      <c r="Q269" s="53">
        <f t="shared" si="67"/>
        <v>0.54639175257731953</v>
      </c>
      <c r="R269" s="54">
        <f t="shared" si="68"/>
        <v>30000</v>
      </c>
      <c r="S269" s="49"/>
      <c r="T269" s="50">
        <v>8500</v>
      </c>
      <c r="U269" s="53">
        <f t="shared" si="69"/>
        <v>0.75257731958762886</v>
      </c>
      <c r="V269" s="51">
        <f t="shared" si="70"/>
        <v>0</v>
      </c>
      <c r="W269" s="49"/>
      <c r="X269" s="50">
        <v>10000</v>
      </c>
      <c r="Y269" s="53">
        <f t="shared" si="71"/>
        <v>1.0618556701030928</v>
      </c>
      <c r="Z269" s="51">
        <f t="shared" si="72"/>
        <v>0</v>
      </c>
      <c r="AA269" s="49" t="s">
        <v>970</v>
      </c>
      <c r="AB269" s="49"/>
      <c r="AC269" s="49"/>
    </row>
    <row r="270" spans="1:29" x14ac:dyDescent="0.3">
      <c r="A270" s="10">
        <v>300</v>
      </c>
      <c r="B270" s="2"/>
      <c r="C270" s="2">
        <v>1</v>
      </c>
      <c r="D270" s="10"/>
      <c r="E270" s="40">
        <v>10500</v>
      </c>
      <c r="F270" s="11">
        <f t="shared" si="77"/>
        <v>0</v>
      </c>
      <c r="G270" s="10"/>
      <c r="H270" s="11">
        <f t="shared" si="78"/>
        <v>0</v>
      </c>
      <c r="I270" s="67">
        <v>134</v>
      </c>
      <c r="J270" s="10" t="s">
        <v>445</v>
      </c>
      <c r="K270" s="10"/>
      <c r="L270" s="10"/>
      <c r="M270" s="10"/>
      <c r="N270" s="12" t="s">
        <v>971</v>
      </c>
      <c r="O270" s="10"/>
      <c r="P270" s="58">
        <v>16800</v>
      </c>
      <c r="Q270" s="13">
        <f t="shared" si="67"/>
        <v>0.6</v>
      </c>
      <c r="R270" s="11">
        <f t="shared" si="68"/>
        <v>0</v>
      </c>
      <c r="S270" s="10"/>
      <c r="T270" s="58">
        <f t="shared" ref="T270:T293" si="79">E270*1.8</f>
        <v>18900</v>
      </c>
      <c r="U270" s="13">
        <f t="shared" si="69"/>
        <v>0.8</v>
      </c>
      <c r="V270" s="11">
        <f t="shared" si="70"/>
        <v>0</v>
      </c>
      <c r="W270" s="10"/>
      <c r="X270" s="58">
        <f t="shared" ref="X270:X293" si="80">E270*2.05</f>
        <v>21524.999999999996</v>
      </c>
      <c r="Y270" s="13">
        <f t="shared" si="71"/>
        <v>1.0499999999999996</v>
      </c>
      <c r="Z270" s="11">
        <f t="shared" si="72"/>
        <v>0</v>
      </c>
      <c r="AA270" s="10" t="s">
        <v>972</v>
      </c>
      <c r="AB270" s="10" t="s">
        <v>973</v>
      </c>
      <c r="AC270" s="2" t="s">
        <v>974</v>
      </c>
    </row>
    <row r="271" spans="1:29" x14ac:dyDescent="0.3">
      <c r="A271" s="10">
        <v>203</v>
      </c>
      <c r="B271" s="2"/>
      <c r="C271" s="2">
        <v>1</v>
      </c>
      <c r="D271" s="10"/>
      <c r="E271" s="40">
        <v>12300</v>
      </c>
      <c r="F271" s="11">
        <f t="shared" si="77"/>
        <v>0</v>
      </c>
      <c r="G271" s="10"/>
      <c r="H271" s="11">
        <f t="shared" si="78"/>
        <v>0</v>
      </c>
      <c r="I271" s="66">
        <v>135</v>
      </c>
      <c r="J271" s="10" t="s">
        <v>352</v>
      </c>
      <c r="K271" s="10"/>
      <c r="L271" s="10"/>
      <c r="M271" s="10"/>
      <c r="N271" s="12" t="s">
        <v>975</v>
      </c>
      <c r="O271" s="10"/>
      <c r="P271" s="58">
        <v>19600</v>
      </c>
      <c r="Q271" s="13">
        <f t="shared" si="67"/>
        <v>0.5934959349593496</v>
      </c>
      <c r="R271" s="11">
        <f t="shared" si="68"/>
        <v>0</v>
      </c>
      <c r="S271" s="10"/>
      <c r="T271" s="58">
        <f t="shared" si="79"/>
        <v>22140</v>
      </c>
      <c r="U271" s="13">
        <f t="shared" si="69"/>
        <v>0.8</v>
      </c>
      <c r="V271" s="11">
        <f t="shared" si="70"/>
        <v>0</v>
      </c>
      <c r="W271" s="10"/>
      <c r="X271" s="58">
        <f t="shared" si="80"/>
        <v>25214.999999999996</v>
      </c>
      <c r="Y271" s="13">
        <f t="shared" si="71"/>
        <v>1.0499999999999996</v>
      </c>
      <c r="Z271" s="11">
        <f t="shared" si="72"/>
        <v>0</v>
      </c>
      <c r="AA271" s="10" t="s">
        <v>976</v>
      </c>
      <c r="AB271" s="10" t="s">
        <v>977</v>
      </c>
      <c r="AC271" s="2"/>
    </row>
    <row r="272" spans="1:29" x14ac:dyDescent="0.3">
      <c r="A272" s="10">
        <v>384</v>
      </c>
      <c r="B272" s="2"/>
      <c r="C272" s="2">
        <v>1</v>
      </c>
      <c r="D272" s="10"/>
      <c r="E272" s="40">
        <v>11300</v>
      </c>
      <c r="F272" s="11">
        <f t="shared" si="77"/>
        <v>0</v>
      </c>
      <c r="G272" s="10"/>
      <c r="H272" s="11">
        <f t="shared" si="78"/>
        <v>0</v>
      </c>
      <c r="I272" s="67">
        <v>136</v>
      </c>
      <c r="J272" s="10" t="s">
        <v>978</v>
      </c>
      <c r="K272" s="10"/>
      <c r="L272" s="10"/>
      <c r="M272" s="10"/>
      <c r="N272" s="12" t="s">
        <v>979</v>
      </c>
      <c r="O272" s="10"/>
      <c r="P272" s="58">
        <v>18000</v>
      </c>
      <c r="Q272" s="13">
        <f t="shared" si="67"/>
        <v>0.59292035398230092</v>
      </c>
      <c r="R272" s="11">
        <f t="shared" si="68"/>
        <v>0</v>
      </c>
      <c r="S272" s="10"/>
      <c r="T272" s="58">
        <f t="shared" si="79"/>
        <v>20340</v>
      </c>
      <c r="U272" s="13">
        <f t="shared" si="69"/>
        <v>0.8</v>
      </c>
      <c r="V272" s="11">
        <f t="shared" si="70"/>
        <v>0</v>
      </c>
      <c r="W272" s="10"/>
      <c r="X272" s="58">
        <f t="shared" si="80"/>
        <v>23164.999999999996</v>
      </c>
      <c r="Y272" s="13">
        <f t="shared" si="71"/>
        <v>1.0499999999999996</v>
      </c>
      <c r="Z272" s="11">
        <f t="shared" si="72"/>
        <v>0</v>
      </c>
      <c r="AA272" s="10" t="s">
        <v>980</v>
      </c>
      <c r="AB272" s="10" t="s">
        <v>981</v>
      </c>
      <c r="AC272" s="2" t="s">
        <v>982</v>
      </c>
    </row>
    <row r="273" spans="1:29" x14ac:dyDescent="0.3">
      <c r="A273" s="10">
        <v>383</v>
      </c>
      <c r="B273" s="2"/>
      <c r="C273" s="2">
        <v>1</v>
      </c>
      <c r="D273" s="10"/>
      <c r="E273" s="40">
        <v>11300</v>
      </c>
      <c r="F273" s="11">
        <f t="shared" si="77"/>
        <v>0</v>
      </c>
      <c r="G273" s="10"/>
      <c r="H273" s="11">
        <f t="shared" si="78"/>
        <v>0</v>
      </c>
      <c r="I273" s="66">
        <v>137</v>
      </c>
      <c r="J273" s="10" t="s">
        <v>978</v>
      </c>
      <c r="K273" s="10"/>
      <c r="L273" s="10"/>
      <c r="M273" s="10"/>
      <c r="N273" s="12" t="s">
        <v>983</v>
      </c>
      <c r="O273" s="10"/>
      <c r="P273" s="58">
        <v>18000</v>
      </c>
      <c r="Q273" s="13">
        <f t="shared" si="67"/>
        <v>0.59292035398230092</v>
      </c>
      <c r="R273" s="11">
        <f t="shared" si="68"/>
        <v>0</v>
      </c>
      <c r="S273" s="10"/>
      <c r="T273" s="58">
        <f t="shared" si="79"/>
        <v>20340</v>
      </c>
      <c r="U273" s="13">
        <f t="shared" si="69"/>
        <v>0.8</v>
      </c>
      <c r="V273" s="11">
        <f t="shared" si="70"/>
        <v>0</v>
      </c>
      <c r="W273" s="10"/>
      <c r="X273" s="58">
        <f t="shared" si="80"/>
        <v>23164.999999999996</v>
      </c>
      <c r="Y273" s="13">
        <f t="shared" si="71"/>
        <v>1.0499999999999996</v>
      </c>
      <c r="Z273" s="11">
        <f t="shared" si="72"/>
        <v>0</v>
      </c>
      <c r="AA273" s="10" t="s">
        <v>984</v>
      </c>
      <c r="AB273" s="10" t="s">
        <v>985</v>
      </c>
      <c r="AC273" s="2" t="s">
        <v>982</v>
      </c>
    </row>
    <row r="274" spans="1:29" x14ac:dyDescent="0.3">
      <c r="A274" s="10">
        <v>276</v>
      </c>
      <c r="B274" s="2"/>
      <c r="C274" s="2">
        <v>1</v>
      </c>
      <c r="D274" s="10"/>
      <c r="E274" s="40">
        <v>19990</v>
      </c>
      <c r="F274" s="11">
        <f t="shared" si="77"/>
        <v>0</v>
      </c>
      <c r="G274" s="10"/>
      <c r="H274" s="11">
        <f t="shared" si="78"/>
        <v>0</v>
      </c>
      <c r="I274" s="67">
        <v>138</v>
      </c>
      <c r="J274" s="10" t="s">
        <v>397</v>
      </c>
      <c r="K274" s="10"/>
      <c r="L274" s="10"/>
      <c r="M274" s="10"/>
      <c r="N274" s="12" t="s">
        <v>986</v>
      </c>
      <c r="O274" s="10"/>
      <c r="P274" s="58">
        <v>31900</v>
      </c>
      <c r="Q274" s="13">
        <f t="shared" si="67"/>
        <v>0.59579789894947477</v>
      </c>
      <c r="R274" s="11">
        <f t="shared" si="68"/>
        <v>0</v>
      </c>
      <c r="S274" s="10"/>
      <c r="T274" s="58">
        <f t="shared" si="79"/>
        <v>35982</v>
      </c>
      <c r="U274" s="13">
        <f t="shared" si="69"/>
        <v>0.8</v>
      </c>
      <c r="V274" s="11">
        <f t="shared" si="70"/>
        <v>0</v>
      </c>
      <c r="W274" s="10"/>
      <c r="X274" s="58">
        <f t="shared" si="80"/>
        <v>40979.5</v>
      </c>
      <c r="Y274" s="13">
        <f t="shared" si="71"/>
        <v>1.05</v>
      </c>
      <c r="Z274" s="11">
        <f t="shared" si="72"/>
        <v>0</v>
      </c>
      <c r="AA274" s="10" t="s">
        <v>987</v>
      </c>
      <c r="AB274" s="10" t="s">
        <v>988</v>
      </c>
      <c r="AC274" s="2" t="s">
        <v>989</v>
      </c>
    </row>
    <row r="275" spans="1:29" x14ac:dyDescent="0.3">
      <c r="A275" s="10">
        <v>277</v>
      </c>
      <c r="B275" s="2"/>
      <c r="C275" s="2">
        <v>1</v>
      </c>
      <c r="D275" s="10"/>
      <c r="E275" s="40">
        <v>19990</v>
      </c>
      <c r="F275" s="11">
        <f t="shared" si="77"/>
        <v>0</v>
      </c>
      <c r="G275" s="10"/>
      <c r="H275" s="11">
        <f t="shared" si="78"/>
        <v>0</v>
      </c>
      <c r="I275" s="66">
        <v>139</v>
      </c>
      <c r="J275" s="10" t="s">
        <v>397</v>
      </c>
      <c r="K275" s="10"/>
      <c r="L275" s="10"/>
      <c r="M275" s="10"/>
      <c r="N275" s="12" t="s">
        <v>990</v>
      </c>
      <c r="O275" s="10"/>
      <c r="P275" s="58">
        <v>31900</v>
      </c>
      <c r="Q275" s="13">
        <f t="shared" si="67"/>
        <v>0.59579789894947477</v>
      </c>
      <c r="R275" s="11">
        <f t="shared" si="68"/>
        <v>0</v>
      </c>
      <c r="S275" s="10"/>
      <c r="T275" s="58">
        <f t="shared" si="79"/>
        <v>35982</v>
      </c>
      <c r="U275" s="13">
        <f t="shared" si="69"/>
        <v>0.8</v>
      </c>
      <c r="V275" s="11">
        <f t="shared" si="70"/>
        <v>0</v>
      </c>
      <c r="W275" s="10"/>
      <c r="X275" s="58">
        <f t="shared" si="80"/>
        <v>40979.5</v>
      </c>
      <c r="Y275" s="13">
        <f t="shared" si="71"/>
        <v>1.05</v>
      </c>
      <c r="Z275" s="11">
        <f t="shared" si="72"/>
        <v>0</v>
      </c>
      <c r="AA275" s="10" t="s">
        <v>991</v>
      </c>
      <c r="AB275" s="10" t="s">
        <v>992</v>
      </c>
      <c r="AC275" s="2"/>
    </row>
    <row r="276" spans="1:29" x14ac:dyDescent="0.3">
      <c r="A276" s="10">
        <v>370</v>
      </c>
      <c r="B276" s="2"/>
      <c r="C276" s="2">
        <v>1</v>
      </c>
      <c r="D276" s="10"/>
      <c r="E276" s="40">
        <v>25800</v>
      </c>
      <c r="F276" s="11">
        <f t="shared" si="77"/>
        <v>0</v>
      </c>
      <c r="G276" s="10"/>
      <c r="H276" s="11">
        <f t="shared" si="78"/>
        <v>0</v>
      </c>
      <c r="I276" s="67">
        <v>140</v>
      </c>
      <c r="J276" s="10" t="s">
        <v>993</v>
      </c>
      <c r="K276" s="10"/>
      <c r="L276" s="10"/>
      <c r="M276" s="10"/>
      <c r="N276" s="12" t="s">
        <v>994</v>
      </c>
      <c r="O276" s="10"/>
      <c r="P276" s="58">
        <v>41200</v>
      </c>
      <c r="Q276" s="13">
        <f t="shared" si="67"/>
        <v>0.5968992248062015</v>
      </c>
      <c r="R276" s="11">
        <f t="shared" si="68"/>
        <v>0</v>
      </c>
      <c r="S276" s="10"/>
      <c r="T276" s="58">
        <f t="shared" si="79"/>
        <v>46440</v>
      </c>
      <c r="U276" s="13">
        <f t="shared" si="69"/>
        <v>0.8</v>
      </c>
      <c r="V276" s="11">
        <f t="shared" si="70"/>
        <v>0</v>
      </c>
      <c r="W276" s="10"/>
      <c r="X276" s="58">
        <f t="shared" si="80"/>
        <v>52889.999999999993</v>
      </c>
      <c r="Y276" s="13">
        <f t="shared" si="71"/>
        <v>1.0499999999999998</v>
      </c>
      <c r="Z276" s="11">
        <f t="shared" si="72"/>
        <v>0</v>
      </c>
      <c r="AA276" s="10" t="s">
        <v>995</v>
      </c>
      <c r="AB276" s="10" t="s">
        <v>996</v>
      </c>
      <c r="AC276" s="2"/>
    </row>
    <row r="277" spans="1:29" x14ac:dyDescent="0.3">
      <c r="A277" s="10">
        <v>371</v>
      </c>
      <c r="B277" s="2"/>
      <c r="C277" s="2">
        <v>1</v>
      </c>
      <c r="D277" s="10"/>
      <c r="E277" s="40">
        <v>18500</v>
      </c>
      <c r="F277" s="11">
        <f t="shared" si="77"/>
        <v>0</v>
      </c>
      <c r="G277" s="10"/>
      <c r="H277" s="11">
        <f t="shared" si="78"/>
        <v>0</v>
      </c>
      <c r="I277" s="66">
        <v>141</v>
      </c>
      <c r="J277" s="10" t="s">
        <v>993</v>
      </c>
      <c r="K277" s="10"/>
      <c r="L277" s="10"/>
      <c r="M277" s="10"/>
      <c r="N277" s="12" t="s">
        <v>997</v>
      </c>
      <c r="O277" s="10"/>
      <c r="P277" s="58">
        <v>29600</v>
      </c>
      <c r="Q277" s="13">
        <f t="shared" si="67"/>
        <v>0.6</v>
      </c>
      <c r="R277" s="11">
        <f t="shared" si="68"/>
        <v>0</v>
      </c>
      <c r="S277" s="10"/>
      <c r="T277" s="58">
        <f t="shared" si="79"/>
        <v>33300</v>
      </c>
      <c r="U277" s="13">
        <f t="shared" si="69"/>
        <v>0.8</v>
      </c>
      <c r="V277" s="11">
        <f t="shared" si="70"/>
        <v>0</v>
      </c>
      <c r="W277" s="10"/>
      <c r="X277" s="58">
        <f t="shared" si="80"/>
        <v>37925</v>
      </c>
      <c r="Y277" s="13">
        <f t="shared" si="71"/>
        <v>1.05</v>
      </c>
      <c r="Z277" s="11">
        <f t="shared" si="72"/>
        <v>0</v>
      </c>
      <c r="AA277" s="10" t="s">
        <v>998</v>
      </c>
      <c r="AB277" s="10" t="s">
        <v>999</v>
      </c>
      <c r="AC277" s="2" t="s">
        <v>1000</v>
      </c>
    </row>
    <row r="278" spans="1:29" x14ac:dyDescent="0.3">
      <c r="A278" s="10">
        <v>374</v>
      </c>
      <c r="B278" s="2"/>
      <c r="C278" s="2">
        <v>1</v>
      </c>
      <c r="D278" s="10"/>
      <c r="E278" s="40">
        <v>47000</v>
      </c>
      <c r="F278" s="11">
        <f t="shared" si="77"/>
        <v>0</v>
      </c>
      <c r="G278" s="10"/>
      <c r="H278" s="11">
        <f t="shared" si="78"/>
        <v>0</v>
      </c>
      <c r="I278" s="67">
        <v>142</v>
      </c>
      <c r="J278" s="10" t="s">
        <v>993</v>
      </c>
      <c r="K278" s="10"/>
      <c r="L278" s="10"/>
      <c r="M278" s="10"/>
      <c r="N278" s="12" t="s">
        <v>1001</v>
      </c>
      <c r="O278" s="10"/>
      <c r="P278" s="58">
        <v>75200</v>
      </c>
      <c r="Q278" s="13">
        <f t="shared" si="67"/>
        <v>0.6</v>
      </c>
      <c r="R278" s="11">
        <f t="shared" si="68"/>
        <v>0</v>
      </c>
      <c r="S278" s="10"/>
      <c r="T278" s="58">
        <f t="shared" si="79"/>
        <v>84600</v>
      </c>
      <c r="U278" s="13">
        <f t="shared" si="69"/>
        <v>0.8</v>
      </c>
      <c r="V278" s="11">
        <f t="shared" si="70"/>
        <v>0</v>
      </c>
      <c r="W278" s="10"/>
      <c r="X278" s="58">
        <f t="shared" si="80"/>
        <v>96349.999999999985</v>
      </c>
      <c r="Y278" s="13">
        <f t="shared" si="71"/>
        <v>1.0499999999999996</v>
      </c>
      <c r="Z278" s="11">
        <f t="shared" si="72"/>
        <v>0</v>
      </c>
      <c r="AA278" s="10" t="s">
        <v>1002</v>
      </c>
      <c r="AB278" s="10" t="s">
        <v>1003</v>
      </c>
      <c r="AC278" s="2" t="s">
        <v>1004</v>
      </c>
    </row>
    <row r="279" spans="1:29" x14ac:dyDescent="0.3">
      <c r="A279" s="10">
        <v>372</v>
      </c>
      <c r="B279" s="2"/>
      <c r="C279" s="2">
        <v>1</v>
      </c>
      <c r="D279" s="10"/>
      <c r="E279" s="40">
        <v>32000</v>
      </c>
      <c r="F279" s="11">
        <f t="shared" si="77"/>
        <v>0</v>
      </c>
      <c r="G279" s="10"/>
      <c r="H279" s="11">
        <f t="shared" si="78"/>
        <v>0</v>
      </c>
      <c r="I279" s="66">
        <v>143</v>
      </c>
      <c r="J279" s="10" t="s">
        <v>993</v>
      </c>
      <c r="K279" s="10"/>
      <c r="L279" s="10"/>
      <c r="M279" s="10"/>
      <c r="N279" s="12" t="s">
        <v>1005</v>
      </c>
      <c r="O279" s="10"/>
      <c r="P279" s="58">
        <v>51200</v>
      </c>
      <c r="Q279" s="13">
        <f t="shared" si="67"/>
        <v>0.6</v>
      </c>
      <c r="R279" s="11">
        <f t="shared" si="68"/>
        <v>0</v>
      </c>
      <c r="S279" s="10"/>
      <c r="T279" s="58">
        <f t="shared" si="79"/>
        <v>57600</v>
      </c>
      <c r="U279" s="13">
        <f t="shared" si="69"/>
        <v>0.8</v>
      </c>
      <c r="V279" s="11">
        <f t="shared" si="70"/>
        <v>0</v>
      </c>
      <c r="W279" s="10"/>
      <c r="X279" s="58">
        <f t="shared" si="80"/>
        <v>65600</v>
      </c>
      <c r="Y279" s="13">
        <f t="shared" si="71"/>
        <v>1.05</v>
      </c>
      <c r="Z279" s="11">
        <f t="shared" si="72"/>
        <v>0</v>
      </c>
      <c r="AA279" s="10" t="s">
        <v>1006</v>
      </c>
      <c r="AB279" s="10" t="s">
        <v>1007</v>
      </c>
      <c r="AC279" s="2" t="s">
        <v>1008</v>
      </c>
    </row>
    <row r="280" spans="1:29" x14ac:dyDescent="0.3">
      <c r="A280" s="10">
        <v>225</v>
      </c>
      <c r="B280" s="2">
        <v>72</v>
      </c>
      <c r="C280" s="2">
        <v>1</v>
      </c>
      <c r="D280" s="10"/>
      <c r="E280" s="40">
        <v>210792</v>
      </c>
      <c r="F280" s="11">
        <f t="shared" si="77"/>
        <v>0</v>
      </c>
      <c r="G280" s="10"/>
      <c r="H280" s="11">
        <f t="shared" si="78"/>
        <v>0</v>
      </c>
      <c r="I280" s="67">
        <v>144</v>
      </c>
      <c r="J280" s="10" t="s">
        <v>397</v>
      </c>
      <c r="K280" s="10"/>
      <c r="L280" s="10"/>
      <c r="M280" s="10"/>
      <c r="N280" s="12" t="s">
        <v>1009</v>
      </c>
      <c r="O280" s="10"/>
      <c r="P280" s="58">
        <v>337200</v>
      </c>
      <c r="Q280" s="13">
        <f t="shared" si="67"/>
        <v>0.59968120232266875</v>
      </c>
      <c r="R280" s="11">
        <f t="shared" si="68"/>
        <v>0</v>
      </c>
      <c r="S280" s="10"/>
      <c r="T280" s="58">
        <f t="shared" si="79"/>
        <v>379425.60000000003</v>
      </c>
      <c r="U280" s="13">
        <f t="shared" si="69"/>
        <v>0.80000000000000016</v>
      </c>
      <c r="V280" s="11">
        <f t="shared" si="70"/>
        <v>0</v>
      </c>
      <c r="W280" s="10"/>
      <c r="X280" s="58">
        <f t="shared" si="80"/>
        <v>432123.6</v>
      </c>
      <c r="Y280" s="13">
        <f t="shared" si="71"/>
        <v>1.0499999999999998</v>
      </c>
      <c r="Z280" s="11">
        <f t="shared" si="72"/>
        <v>0</v>
      </c>
      <c r="AA280" s="10" t="s">
        <v>1010</v>
      </c>
      <c r="AB280" s="10" t="s">
        <v>1011</v>
      </c>
      <c r="AC280" s="2" t="s">
        <v>1012</v>
      </c>
    </row>
    <row r="281" spans="1:29" x14ac:dyDescent="0.3">
      <c r="A281" s="10">
        <v>375</v>
      </c>
      <c r="B281" s="2"/>
      <c r="C281" s="2">
        <v>1</v>
      </c>
      <c r="D281" s="10"/>
      <c r="E281" s="40">
        <v>20400</v>
      </c>
      <c r="F281" s="11">
        <f t="shared" si="77"/>
        <v>0</v>
      </c>
      <c r="G281" s="10"/>
      <c r="H281" s="11">
        <f t="shared" si="78"/>
        <v>0</v>
      </c>
      <c r="I281" s="66">
        <v>145</v>
      </c>
      <c r="J281" s="10" t="s">
        <v>993</v>
      </c>
      <c r="K281" s="10"/>
      <c r="L281" s="10"/>
      <c r="M281" s="10"/>
      <c r="N281" s="12" t="s">
        <v>1013</v>
      </c>
      <c r="O281" s="10"/>
      <c r="P281" s="58">
        <v>32600</v>
      </c>
      <c r="Q281" s="13">
        <f t="shared" si="67"/>
        <v>0.59803921568627449</v>
      </c>
      <c r="R281" s="11">
        <f t="shared" si="68"/>
        <v>0</v>
      </c>
      <c r="S281" s="10"/>
      <c r="T281" s="58">
        <f t="shared" si="79"/>
        <v>36720</v>
      </c>
      <c r="U281" s="13">
        <f t="shared" si="69"/>
        <v>0.8</v>
      </c>
      <c r="V281" s="11">
        <f t="shared" si="70"/>
        <v>0</v>
      </c>
      <c r="W281" s="10"/>
      <c r="X281" s="58">
        <f t="shared" si="80"/>
        <v>41820</v>
      </c>
      <c r="Y281" s="13">
        <f t="shared" si="71"/>
        <v>1.05</v>
      </c>
      <c r="Z281" s="11">
        <f t="shared" si="72"/>
        <v>0</v>
      </c>
      <c r="AA281" s="10" t="s">
        <v>1014</v>
      </c>
      <c r="AB281" s="10" t="s">
        <v>1015</v>
      </c>
      <c r="AC281" s="2" t="s">
        <v>1016</v>
      </c>
    </row>
    <row r="282" spans="1:29" x14ac:dyDescent="0.3">
      <c r="A282" s="10">
        <v>226</v>
      </c>
      <c r="B282" s="2"/>
      <c r="C282" s="2">
        <v>1</v>
      </c>
      <c r="D282" s="10"/>
      <c r="E282" s="40">
        <v>72000</v>
      </c>
      <c r="F282" s="11">
        <f t="shared" si="77"/>
        <v>0</v>
      </c>
      <c r="G282" s="10"/>
      <c r="H282" s="11">
        <f t="shared" si="78"/>
        <v>0</v>
      </c>
      <c r="I282" s="67">
        <v>146</v>
      </c>
      <c r="J282" s="10" t="s">
        <v>397</v>
      </c>
      <c r="K282" s="10"/>
      <c r="L282" s="10"/>
      <c r="M282" s="10"/>
      <c r="N282" s="12" t="s">
        <v>1021</v>
      </c>
      <c r="O282" s="10"/>
      <c r="P282" s="58">
        <v>115200</v>
      </c>
      <c r="Q282" s="13">
        <f t="shared" si="67"/>
        <v>0.6</v>
      </c>
      <c r="R282" s="11">
        <f t="shared" si="68"/>
        <v>0</v>
      </c>
      <c r="S282" s="10"/>
      <c r="T282" s="58">
        <f t="shared" si="79"/>
        <v>129600</v>
      </c>
      <c r="U282" s="13">
        <f t="shared" si="69"/>
        <v>0.8</v>
      </c>
      <c r="V282" s="11">
        <f t="shared" si="70"/>
        <v>0</v>
      </c>
      <c r="W282" s="10"/>
      <c r="X282" s="58">
        <f t="shared" si="80"/>
        <v>147600</v>
      </c>
      <c r="Y282" s="13">
        <f t="shared" si="71"/>
        <v>1.05</v>
      </c>
      <c r="Z282" s="11">
        <f t="shared" si="72"/>
        <v>0</v>
      </c>
      <c r="AA282" s="10" t="s">
        <v>1022</v>
      </c>
      <c r="AB282" s="10" t="s">
        <v>1023</v>
      </c>
      <c r="AC282" s="2" t="s">
        <v>1024</v>
      </c>
    </row>
    <row r="283" spans="1:29" x14ac:dyDescent="0.3">
      <c r="A283" s="10">
        <v>239</v>
      </c>
      <c r="B283" s="2"/>
      <c r="C283" s="2">
        <v>1</v>
      </c>
      <c r="D283" s="10"/>
      <c r="E283" s="40">
        <v>76495</v>
      </c>
      <c r="F283" s="11">
        <f t="shared" si="77"/>
        <v>0</v>
      </c>
      <c r="G283" s="10"/>
      <c r="H283" s="11">
        <f t="shared" si="78"/>
        <v>0</v>
      </c>
      <c r="I283" s="66">
        <v>147</v>
      </c>
      <c r="J283" s="10" t="s">
        <v>397</v>
      </c>
      <c r="K283" s="10"/>
      <c r="L283" s="10"/>
      <c r="M283" s="10"/>
      <c r="N283" s="12" t="s">
        <v>1540</v>
      </c>
      <c r="O283" s="10"/>
      <c r="P283" s="58">
        <v>122300</v>
      </c>
      <c r="Q283" s="13">
        <f t="shared" si="67"/>
        <v>0.59879730701353029</v>
      </c>
      <c r="R283" s="11">
        <f t="shared" si="68"/>
        <v>0</v>
      </c>
      <c r="S283" s="10"/>
      <c r="T283" s="58">
        <f t="shared" si="79"/>
        <v>137691</v>
      </c>
      <c r="U283" s="13">
        <f t="shared" si="69"/>
        <v>0.8</v>
      </c>
      <c r="V283" s="11">
        <f t="shared" si="70"/>
        <v>0</v>
      </c>
      <c r="W283" s="10"/>
      <c r="X283" s="58">
        <f t="shared" si="80"/>
        <v>156814.75</v>
      </c>
      <c r="Y283" s="13">
        <f t="shared" si="71"/>
        <v>1.05</v>
      </c>
      <c r="Z283" s="11">
        <f t="shared" si="72"/>
        <v>0</v>
      </c>
      <c r="AA283" s="10" t="s">
        <v>1541</v>
      </c>
      <c r="AB283" s="10" t="s">
        <v>1542</v>
      </c>
      <c r="AC283" s="2" t="s">
        <v>1543</v>
      </c>
    </row>
    <row r="284" spans="1:29" x14ac:dyDescent="0.3">
      <c r="A284" s="10">
        <v>386</v>
      </c>
      <c r="B284" s="2"/>
      <c r="C284" s="2">
        <v>1</v>
      </c>
      <c r="D284" s="10"/>
      <c r="E284" s="40">
        <v>65000</v>
      </c>
      <c r="F284" s="11">
        <f t="shared" si="77"/>
        <v>0</v>
      </c>
      <c r="G284" s="10"/>
      <c r="H284" s="11">
        <f t="shared" si="78"/>
        <v>0</v>
      </c>
      <c r="I284" s="67">
        <v>148</v>
      </c>
      <c r="J284" s="10" t="s">
        <v>978</v>
      </c>
      <c r="K284" s="10"/>
      <c r="L284" s="10"/>
      <c r="M284" s="10"/>
      <c r="N284" s="12" t="s">
        <v>1025</v>
      </c>
      <c r="O284" s="10"/>
      <c r="P284" s="58">
        <v>104000</v>
      </c>
      <c r="Q284" s="13">
        <f t="shared" si="67"/>
        <v>0.6</v>
      </c>
      <c r="R284" s="11">
        <f t="shared" si="68"/>
        <v>0</v>
      </c>
      <c r="S284" s="10"/>
      <c r="T284" s="58">
        <f t="shared" si="79"/>
        <v>117000</v>
      </c>
      <c r="U284" s="13">
        <f t="shared" si="69"/>
        <v>0.8</v>
      </c>
      <c r="V284" s="11">
        <f t="shared" si="70"/>
        <v>0</v>
      </c>
      <c r="W284" s="10"/>
      <c r="X284" s="58">
        <f t="shared" si="80"/>
        <v>133250</v>
      </c>
      <c r="Y284" s="13">
        <f t="shared" si="71"/>
        <v>1.05</v>
      </c>
      <c r="Z284" s="11">
        <f t="shared" si="72"/>
        <v>0</v>
      </c>
      <c r="AA284" s="10" t="s">
        <v>1026</v>
      </c>
      <c r="AB284" s="10" t="s">
        <v>1027</v>
      </c>
      <c r="AC284" s="2" t="s">
        <v>1028</v>
      </c>
    </row>
    <row r="285" spans="1:29" x14ac:dyDescent="0.3">
      <c r="A285" s="10">
        <v>91</v>
      </c>
      <c r="B285" s="2"/>
      <c r="C285" s="2">
        <v>1</v>
      </c>
      <c r="D285" s="10"/>
      <c r="E285" s="40">
        <v>30500</v>
      </c>
      <c r="F285" s="11">
        <f t="shared" si="77"/>
        <v>0</v>
      </c>
      <c r="G285" s="10"/>
      <c r="H285" s="11">
        <f t="shared" si="78"/>
        <v>0</v>
      </c>
      <c r="I285" s="66">
        <v>149</v>
      </c>
      <c r="J285" s="10" t="s">
        <v>125</v>
      </c>
      <c r="K285" s="10"/>
      <c r="L285" s="10"/>
      <c r="M285" s="10"/>
      <c r="N285" s="12" t="s">
        <v>1029</v>
      </c>
      <c r="O285" s="10"/>
      <c r="P285" s="58">
        <v>48800</v>
      </c>
      <c r="Q285" s="13">
        <f t="shared" si="67"/>
        <v>0.6</v>
      </c>
      <c r="R285" s="11">
        <f t="shared" si="68"/>
        <v>0</v>
      </c>
      <c r="S285" s="10"/>
      <c r="T285" s="58">
        <f t="shared" si="79"/>
        <v>54900</v>
      </c>
      <c r="U285" s="13">
        <f t="shared" si="69"/>
        <v>0.8</v>
      </c>
      <c r="V285" s="11">
        <f t="shared" si="70"/>
        <v>0</v>
      </c>
      <c r="W285" s="10"/>
      <c r="X285" s="58">
        <f t="shared" si="80"/>
        <v>62524.999999999993</v>
      </c>
      <c r="Y285" s="13">
        <f t="shared" si="71"/>
        <v>1.0499999999999998</v>
      </c>
      <c r="Z285" s="11">
        <f t="shared" si="72"/>
        <v>0</v>
      </c>
      <c r="AA285" s="10" t="s">
        <v>1030</v>
      </c>
      <c r="AB285" s="10" t="s">
        <v>1031</v>
      </c>
      <c r="AC285" s="2" t="s">
        <v>1032</v>
      </c>
    </row>
    <row r="286" spans="1:29" x14ac:dyDescent="0.3">
      <c r="A286" s="10">
        <v>385</v>
      </c>
      <c r="B286" s="2"/>
      <c r="C286" s="2">
        <v>1</v>
      </c>
      <c r="D286" s="10"/>
      <c r="E286" s="40">
        <v>9899</v>
      </c>
      <c r="F286" s="11">
        <f t="shared" si="77"/>
        <v>0</v>
      </c>
      <c r="G286" s="10"/>
      <c r="H286" s="11">
        <f t="shared" si="78"/>
        <v>0</v>
      </c>
      <c r="I286" s="67">
        <v>150</v>
      </c>
      <c r="J286" s="10" t="s">
        <v>125</v>
      </c>
      <c r="K286" s="10"/>
      <c r="L286" s="10"/>
      <c r="M286" s="10"/>
      <c r="N286" s="12" t="s">
        <v>1033</v>
      </c>
      <c r="O286" s="10"/>
      <c r="P286" s="58">
        <v>15800</v>
      </c>
      <c r="Q286" s="13">
        <f t="shared" si="67"/>
        <v>0.59612082028487723</v>
      </c>
      <c r="R286" s="11">
        <f t="shared" si="68"/>
        <v>0</v>
      </c>
      <c r="S286" s="10"/>
      <c r="T286" s="58">
        <f t="shared" si="79"/>
        <v>17818.2</v>
      </c>
      <c r="U286" s="13">
        <f t="shared" si="69"/>
        <v>0.8</v>
      </c>
      <c r="V286" s="11">
        <f t="shared" si="70"/>
        <v>0</v>
      </c>
      <c r="W286" s="10"/>
      <c r="X286" s="58">
        <f t="shared" si="80"/>
        <v>20292.949999999997</v>
      </c>
      <c r="Y286" s="13">
        <f t="shared" si="71"/>
        <v>1.0499999999999996</v>
      </c>
      <c r="Z286" s="11">
        <f t="shared" si="72"/>
        <v>0</v>
      </c>
      <c r="AA286" s="10" t="s">
        <v>1034</v>
      </c>
      <c r="AB286" s="10" t="s">
        <v>1035</v>
      </c>
      <c r="AC286" s="2" t="s">
        <v>1036</v>
      </c>
    </row>
    <row r="287" spans="1:29" x14ac:dyDescent="0.3">
      <c r="A287" s="37">
        <v>572</v>
      </c>
      <c r="B287" s="37"/>
      <c r="C287" s="37">
        <v>5</v>
      </c>
      <c r="D287" s="37"/>
      <c r="E287" s="44">
        <v>7200</v>
      </c>
      <c r="F287" s="38">
        <f t="shared" si="77"/>
        <v>0</v>
      </c>
      <c r="G287" s="37"/>
      <c r="H287" s="38">
        <f t="shared" si="78"/>
        <v>0</v>
      </c>
      <c r="I287" s="66">
        <v>151</v>
      </c>
      <c r="J287" s="37" t="s">
        <v>1037</v>
      </c>
      <c r="K287" s="37" t="s">
        <v>1960</v>
      </c>
      <c r="L287" s="37"/>
      <c r="M287" s="37"/>
      <c r="N287" s="36" t="s">
        <v>1045</v>
      </c>
      <c r="O287" s="37"/>
      <c r="P287" s="44">
        <v>11500</v>
      </c>
      <c r="Q287" s="45">
        <f t="shared" si="67"/>
        <v>0.59722222222222221</v>
      </c>
      <c r="R287" s="46">
        <f t="shared" si="68"/>
        <v>0</v>
      </c>
      <c r="S287" s="37"/>
      <c r="T287" s="44">
        <f t="shared" si="79"/>
        <v>12960</v>
      </c>
      <c r="U287" s="45">
        <f t="shared" si="69"/>
        <v>0.8</v>
      </c>
      <c r="V287" s="38">
        <f t="shared" si="70"/>
        <v>0</v>
      </c>
      <c r="W287" s="37"/>
      <c r="X287" s="44">
        <f t="shared" si="80"/>
        <v>14759.999999999998</v>
      </c>
      <c r="Y287" s="45">
        <f t="shared" si="71"/>
        <v>1.0499999999999998</v>
      </c>
      <c r="Z287" s="38">
        <f t="shared" si="72"/>
        <v>0</v>
      </c>
      <c r="AA287" s="37" t="s">
        <v>1046</v>
      </c>
      <c r="AB287" s="37" t="s">
        <v>1047</v>
      </c>
      <c r="AC287" s="37"/>
    </row>
    <row r="288" spans="1:29" x14ac:dyDescent="0.3">
      <c r="A288" s="10">
        <v>380</v>
      </c>
      <c r="B288" s="2"/>
      <c r="C288" s="2">
        <v>1</v>
      </c>
      <c r="D288" s="10"/>
      <c r="E288" s="40">
        <v>3200</v>
      </c>
      <c r="F288" s="11">
        <f t="shared" si="77"/>
        <v>0</v>
      </c>
      <c r="G288" s="10"/>
      <c r="H288" s="11">
        <f t="shared" si="78"/>
        <v>0</v>
      </c>
      <c r="I288" s="67">
        <v>152</v>
      </c>
      <c r="J288" s="10" t="s">
        <v>1037</v>
      </c>
      <c r="K288" s="10"/>
      <c r="L288" s="10"/>
      <c r="M288" s="10"/>
      <c r="N288" s="12" t="s">
        <v>1038</v>
      </c>
      <c r="O288" s="10"/>
      <c r="P288" s="58">
        <v>5100</v>
      </c>
      <c r="Q288" s="13">
        <f t="shared" si="67"/>
        <v>0.59375</v>
      </c>
      <c r="R288" s="11">
        <f t="shared" si="68"/>
        <v>0</v>
      </c>
      <c r="S288" s="10"/>
      <c r="T288" s="58">
        <f t="shared" si="79"/>
        <v>5760</v>
      </c>
      <c r="U288" s="13">
        <f t="shared" si="69"/>
        <v>0.8</v>
      </c>
      <c r="V288" s="11">
        <f t="shared" si="70"/>
        <v>0</v>
      </c>
      <c r="W288" s="10"/>
      <c r="X288" s="58">
        <f t="shared" si="80"/>
        <v>6559.9999999999991</v>
      </c>
      <c r="Y288" s="13">
        <f t="shared" si="71"/>
        <v>1.0499999999999998</v>
      </c>
      <c r="Z288" s="11">
        <f t="shared" si="72"/>
        <v>0</v>
      </c>
      <c r="AA288" s="10" t="s">
        <v>1039</v>
      </c>
      <c r="AB288" s="10" t="s">
        <v>1040</v>
      </c>
      <c r="AC288" s="2" t="s">
        <v>1041</v>
      </c>
    </row>
    <row r="289" spans="1:29" x14ac:dyDescent="0.3">
      <c r="A289" s="10">
        <v>381</v>
      </c>
      <c r="B289" s="2"/>
      <c r="C289" s="2">
        <v>1</v>
      </c>
      <c r="D289" s="10"/>
      <c r="E289" s="40">
        <v>5500</v>
      </c>
      <c r="F289" s="11">
        <f t="shared" si="77"/>
        <v>0</v>
      </c>
      <c r="G289" s="10"/>
      <c r="H289" s="11">
        <f t="shared" si="78"/>
        <v>0</v>
      </c>
      <c r="I289" s="66">
        <v>153</v>
      </c>
      <c r="J289" s="10" t="s">
        <v>1037</v>
      </c>
      <c r="K289" s="10"/>
      <c r="L289" s="10"/>
      <c r="M289" s="10"/>
      <c r="N289" s="12" t="s">
        <v>1042</v>
      </c>
      <c r="O289" s="10"/>
      <c r="P289" s="58">
        <v>8800</v>
      </c>
      <c r="Q289" s="13">
        <f t="shared" si="67"/>
        <v>0.6</v>
      </c>
      <c r="R289" s="11">
        <f t="shared" si="68"/>
        <v>0</v>
      </c>
      <c r="S289" s="10"/>
      <c r="T289" s="58">
        <f t="shared" si="79"/>
        <v>9900</v>
      </c>
      <c r="U289" s="13">
        <f t="shared" si="69"/>
        <v>0.8</v>
      </c>
      <c r="V289" s="11">
        <f t="shared" si="70"/>
        <v>0</v>
      </c>
      <c r="W289" s="10"/>
      <c r="X289" s="58">
        <f t="shared" si="80"/>
        <v>11274.999999999998</v>
      </c>
      <c r="Y289" s="13">
        <f t="shared" si="71"/>
        <v>1.0499999999999996</v>
      </c>
      <c r="Z289" s="11">
        <f t="shared" si="72"/>
        <v>0</v>
      </c>
      <c r="AA289" s="10" t="s">
        <v>1043</v>
      </c>
      <c r="AB289" s="10" t="s">
        <v>1044</v>
      </c>
      <c r="AC289" s="2" t="s">
        <v>1041</v>
      </c>
    </row>
    <row r="290" spans="1:29" x14ac:dyDescent="0.3">
      <c r="A290" s="10">
        <v>186</v>
      </c>
      <c r="B290" s="2"/>
      <c r="C290" s="2">
        <v>1</v>
      </c>
      <c r="D290" s="10"/>
      <c r="E290" s="40">
        <v>750</v>
      </c>
      <c r="F290" s="11">
        <f t="shared" si="77"/>
        <v>0</v>
      </c>
      <c r="G290" s="10"/>
      <c r="H290" s="11">
        <f t="shared" si="78"/>
        <v>0</v>
      </c>
      <c r="I290" s="67">
        <v>154</v>
      </c>
      <c r="J290" s="10" t="s">
        <v>342</v>
      </c>
      <c r="K290" s="10"/>
      <c r="L290" s="10"/>
      <c r="M290" s="10"/>
      <c r="N290" s="12" t="s">
        <v>1052</v>
      </c>
      <c r="O290" s="10"/>
      <c r="P290" s="58">
        <v>1200</v>
      </c>
      <c r="Q290" s="13">
        <f t="shared" ref="Q290:Q353" si="81">(P290-E290)/E290</f>
        <v>0.6</v>
      </c>
      <c r="R290" s="11">
        <f t="shared" ref="R290:R353" si="82">O290*P290</f>
        <v>0</v>
      </c>
      <c r="S290" s="10"/>
      <c r="T290" s="58">
        <f t="shared" si="79"/>
        <v>1350</v>
      </c>
      <c r="U290" s="13">
        <f t="shared" ref="U290:U353" si="83">(T290-E290)/E290</f>
        <v>0.8</v>
      </c>
      <c r="V290" s="11">
        <f t="shared" ref="V290:V353" si="84">S290*T290</f>
        <v>0</v>
      </c>
      <c r="W290" s="10"/>
      <c r="X290" s="58">
        <f t="shared" si="80"/>
        <v>1537.4999999999998</v>
      </c>
      <c r="Y290" s="13">
        <f t="shared" ref="Y290:Y353" si="85">(X290-E290)/E290</f>
        <v>1.0499999999999996</v>
      </c>
      <c r="Z290" s="11">
        <f t="shared" ref="Z290:Z353" si="86">W290*X290</f>
        <v>0</v>
      </c>
      <c r="AA290" s="10" t="s">
        <v>1053</v>
      </c>
      <c r="AB290" s="10" t="s">
        <v>1054</v>
      </c>
      <c r="AC290" s="2" t="s">
        <v>1055</v>
      </c>
    </row>
    <row r="291" spans="1:29" x14ac:dyDescent="0.3">
      <c r="A291" s="10">
        <v>181</v>
      </c>
      <c r="B291" s="2"/>
      <c r="C291" s="2">
        <v>1</v>
      </c>
      <c r="D291" s="10"/>
      <c r="E291" s="40">
        <v>26900</v>
      </c>
      <c r="F291" s="11">
        <f t="shared" si="77"/>
        <v>0</v>
      </c>
      <c r="G291" s="10"/>
      <c r="H291" s="11">
        <f t="shared" si="78"/>
        <v>0</v>
      </c>
      <c r="I291" s="66">
        <v>155</v>
      </c>
      <c r="J291" s="10" t="s">
        <v>1056</v>
      </c>
      <c r="K291" s="10"/>
      <c r="L291" s="10"/>
      <c r="M291" s="10"/>
      <c r="N291" s="12" t="s">
        <v>1057</v>
      </c>
      <c r="O291" s="10"/>
      <c r="P291" s="58">
        <v>43000</v>
      </c>
      <c r="Q291" s="13">
        <f t="shared" si="81"/>
        <v>0.5985130111524164</v>
      </c>
      <c r="R291" s="11">
        <f t="shared" si="82"/>
        <v>0</v>
      </c>
      <c r="S291" s="10"/>
      <c r="T291" s="58">
        <f t="shared" si="79"/>
        <v>48420</v>
      </c>
      <c r="U291" s="13">
        <f t="shared" si="83"/>
        <v>0.8</v>
      </c>
      <c r="V291" s="11">
        <f t="shared" si="84"/>
        <v>0</v>
      </c>
      <c r="W291" s="10"/>
      <c r="X291" s="58">
        <f t="shared" si="80"/>
        <v>55144.999999999993</v>
      </c>
      <c r="Y291" s="13">
        <f t="shared" si="85"/>
        <v>1.0499999999999998</v>
      </c>
      <c r="Z291" s="11">
        <f t="shared" si="86"/>
        <v>0</v>
      </c>
      <c r="AA291" s="10" t="s">
        <v>1058</v>
      </c>
      <c r="AB291" s="10" t="s">
        <v>1059</v>
      </c>
      <c r="AC291" s="2" t="s">
        <v>1060</v>
      </c>
    </row>
    <row r="292" spans="1:29" x14ac:dyDescent="0.3">
      <c r="A292" s="10">
        <v>187</v>
      </c>
      <c r="B292" s="2"/>
      <c r="C292" s="2">
        <v>1</v>
      </c>
      <c r="D292" s="10"/>
      <c r="E292" s="40">
        <v>1950</v>
      </c>
      <c r="F292" s="11">
        <f t="shared" si="77"/>
        <v>0</v>
      </c>
      <c r="G292" s="10"/>
      <c r="H292" s="11">
        <f t="shared" si="78"/>
        <v>0</v>
      </c>
      <c r="I292" s="67">
        <v>156</v>
      </c>
      <c r="J292" s="10" t="s">
        <v>342</v>
      </c>
      <c r="K292" s="10"/>
      <c r="L292" s="10"/>
      <c r="M292" s="10"/>
      <c r="N292" s="12" t="s">
        <v>1061</v>
      </c>
      <c r="O292" s="10"/>
      <c r="P292" s="58">
        <v>3100</v>
      </c>
      <c r="Q292" s="13">
        <f t="shared" si="81"/>
        <v>0.58974358974358976</v>
      </c>
      <c r="R292" s="11">
        <f t="shared" si="82"/>
        <v>0</v>
      </c>
      <c r="S292" s="10"/>
      <c r="T292" s="58">
        <f t="shared" si="79"/>
        <v>3510</v>
      </c>
      <c r="U292" s="13">
        <f t="shared" si="83"/>
        <v>0.8</v>
      </c>
      <c r="V292" s="11">
        <f t="shared" si="84"/>
        <v>0</v>
      </c>
      <c r="W292" s="10"/>
      <c r="X292" s="58">
        <f t="shared" si="80"/>
        <v>3997.4999999999995</v>
      </c>
      <c r="Y292" s="13">
        <f t="shared" si="85"/>
        <v>1.0499999999999998</v>
      </c>
      <c r="Z292" s="11">
        <f t="shared" si="86"/>
        <v>0</v>
      </c>
      <c r="AA292" s="10" t="s">
        <v>1062</v>
      </c>
      <c r="AB292" s="10" t="s">
        <v>1063</v>
      </c>
      <c r="AC292" s="2" t="s">
        <v>1064</v>
      </c>
    </row>
    <row r="293" spans="1:29" x14ac:dyDescent="0.3">
      <c r="A293" s="10">
        <v>188</v>
      </c>
      <c r="B293" s="2"/>
      <c r="C293" s="2">
        <v>1</v>
      </c>
      <c r="D293" s="10"/>
      <c r="E293" s="40">
        <v>6900</v>
      </c>
      <c r="F293" s="11">
        <f t="shared" si="77"/>
        <v>0</v>
      </c>
      <c r="G293" s="10"/>
      <c r="H293" s="11">
        <f t="shared" si="78"/>
        <v>0</v>
      </c>
      <c r="I293" s="66">
        <v>157</v>
      </c>
      <c r="J293" s="10" t="s">
        <v>342</v>
      </c>
      <c r="K293" s="10"/>
      <c r="L293" s="10"/>
      <c r="M293" s="10"/>
      <c r="N293" s="12" t="s">
        <v>1065</v>
      </c>
      <c r="O293" s="10"/>
      <c r="P293" s="58">
        <v>11000</v>
      </c>
      <c r="Q293" s="13">
        <f t="shared" si="81"/>
        <v>0.59420289855072461</v>
      </c>
      <c r="R293" s="11">
        <f t="shared" si="82"/>
        <v>0</v>
      </c>
      <c r="S293" s="10"/>
      <c r="T293" s="58">
        <f t="shared" si="79"/>
        <v>12420</v>
      </c>
      <c r="U293" s="13">
        <f t="shared" si="83"/>
        <v>0.8</v>
      </c>
      <c r="V293" s="11">
        <f t="shared" si="84"/>
        <v>0</v>
      </c>
      <c r="W293" s="10"/>
      <c r="X293" s="58">
        <f t="shared" si="80"/>
        <v>14144.999999999998</v>
      </c>
      <c r="Y293" s="13">
        <f t="shared" si="85"/>
        <v>1.0499999999999998</v>
      </c>
      <c r="Z293" s="11">
        <f t="shared" si="86"/>
        <v>0</v>
      </c>
      <c r="AA293" s="10" t="s">
        <v>1066</v>
      </c>
      <c r="AB293" s="10" t="s">
        <v>1067</v>
      </c>
      <c r="AC293" s="2" t="s">
        <v>1068</v>
      </c>
    </row>
    <row r="294" spans="1:29" x14ac:dyDescent="0.3">
      <c r="A294" s="5">
        <v>37</v>
      </c>
      <c r="B294" s="5">
        <v>54</v>
      </c>
      <c r="C294" s="5">
        <v>3</v>
      </c>
      <c r="D294" s="5">
        <v>2</v>
      </c>
      <c r="E294" s="41">
        <v>16500</v>
      </c>
      <c r="F294" s="29">
        <f t="shared" si="77"/>
        <v>33000</v>
      </c>
      <c r="G294" s="5"/>
      <c r="H294" s="29">
        <f t="shared" si="78"/>
        <v>0</v>
      </c>
      <c r="I294" s="67">
        <v>158</v>
      </c>
      <c r="J294" s="5" t="s">
        <v>342</v>
      </c>
      <c r="K294" s="5"/>
      <c r="L294" s="5"/>
      <c r="M294" s="5" t="s">
        <v>518</v>
      </c>
      <c r="N294" s="6" t="s">
        <v>1048</v>
      </c>
      <c r="O294" s="5">
        <v>2</v>
      </c>
      <c r="P294" s="72">
        <v>24000</v>
      </c>
      <c r="Q294" s="33">
        <f t="shared" si="81"/>
        <v>0.45454545454545453</v>
      </c>
      <c r="R294" s="32">
        <f t="shared" si="82"/>
        <v>48000</v>
      </c>
      <c r="S294" s="5"/>
      <c r="T294" s="41">
        <v>27000</v>
      </c>
      <c r="U294" s="33">
        <f t="shared" si="83"/>
        <v>0.63636363636363635</v>
      </c>
      <c r="V294" s="29">
        <f t="shared" si="84"/>
        <v>0</v>
      </c>
      <c r="W294" s="5"/>
      <c r="X294" s="41">
        <v>30000</v>
      </c>
      <c r="Y294" s="33">
        <f t="shared" si="85"/>
        <v>0.81818181818181823</v>
      </c>
      <c r="Z294" s="29">
        <f t="shared" si="86"/>
        <v>0</v>
      </c>
      <c r="AA294" s="5" t="s">
        <v>1049</v>
      </c>
      <c r="AB294" s="5" t="s">
        <v>1050</v>
      </c>
      <c r="AC294" s="5" t="s">
        <v>1051</v>
      </c>
    </row>
    <row r="295" spans="1:29" x14ac:dyDescent="0.3">
      <c r="A295" s="10">
        <v>182</v>
      </c>
      <c r="B295" s="2"/>
      <c r="C295" s="2">
        <v>1</v>
      </c>
      <c r="D295" s="10"/>
      <c r="E295" s="40">
        <v>87899</v>
      </c>
      <c r="F295" s="11">
        <f t="shared" si="77"/>
        <v>0</v>
      </c>
      <c r="G295" s="10"/>
      <c r="H295" s="11">
        <f t="shared" si="78"/>
        <v>0</v>
      </c>
      <c r="I295" s="66">
        <v>159</v>
      </c>
      <c r="J295" s="10" t="s">
        <v>1056</v>
      </c>
      <c r="K295" s="10"/>
      <c r="L295" s="10"/>
      <c r="M295" s="10"/>
      <c r="N295" s="12" t="s">
        <v>1069</v>
      </c>
      <c r="O295" s="10"/>
      <c r="P295" s="58">
        <v>140600</v>
      </c>
      <c r="Q295" s="13">
        <f t="shared" si="81"/>
        <v>0.59956313496171743</v>
      </c>
      <c r="R295" s="11">
        <f t="shared" si="82"/>
        <v>0</v>
      </c>
      <c r="S295" s="10"/>
      <c r="T295" s="58">
        <f t="shared" ref="T295:T316" si="87">E295*1.8</f>
        <v>158218.20000000001</v>
      </c>
      <c r="U295" s="13">
        <f t="shared" si="83"/>
        <v>0.80000000000000016</v>
      </c>
      <c r="V295" s="11">
        <f t="shared" si="84"/>
        <v>0</v>
      </c>
      <c r="W295" s="10"/>
      <c r="X295" s="58">
        <f t="shared" ref="X295:X316" si="88">E295*2.05</f>
        <v>180192.94999999998</v>
      </c>
      <c r="Y295" s="13">
        <f t="shared" si="85"/>
        <v>1.0499999999999998</v>
      </c>
      <c r="Z295" s="11">
        <f t="shared" si="86"/>
        <v>0</v>
      </c>
      <c r="AA295" s="10" t="s">
        <v>1070</v>
      </c>
      <c r="AB295" s="10" t="s">
        <v>1071</v>
      </c>
      <c r="AC295" s="2" t="s">
        <v>1072</v>
      </c>
    </row>
    <row r="296" spans="1:29" x14ac:dyDescent="0.3">
      <c r="A296" s="10">
        <v>183</v>
      </c>
      <c r="B296" s="2"/>
      <c r="C296" s="2">
        <v>1</v>
      </c>
      <c r="D296" s="10"/>
      <c r="E296" s="40">
        <v>18999</v>
      </c>
      <c r="F296" s="11">
        <f t="shared" si="77"/>
        <v>0</v>
      </c>
      <c r="G296" s="10"/>
      <c r="H296" s="11">
        <f t="shared" si="78"/>
        <v>0</v>
      </c>
      <c r="I296" s="67">
        <v>160</v>
      </c>
      <c r="J296" s="10" t="s">
        <v>1056</v>
      </c>
      <c r="K296" s="10"/>
      <c r="L296" s="10"/>
      <c r="M296" s="10"/>
      <c r="N296" s="12" t="s">
        <v>1073</v>
      </c>
      <c r="O296" s="10"/>
      <c r="P296" s="58">
        <v>30300</v>
      </c>
      <c r="Q296" s="13">
        <f t="shared" si="81"/>
        <v>0.59482078004105476</v>
      </c>
      <c r="R296" s="11">
        <f t="shared" si="82"/>
        <v>0</v>
      </c>
      <c r="S296" s="10"/>
      <c r="T296" s="58">
        <f t="shared" si="87"/>
        <v>34198.200000000004</v>
      </c>
      <c r="U296" s="13">
        <f t="shared" si="83"/>
        <v>0.80000000000000027</v>
      </c>
      <c r="V296" s="11">
        <f t="shared" si="84"/>
        <v>0</v>
      </c>
      <c r="W296" s="10"/>
      <c r="X296" s="58">
        <f t="shared" si="88"/>
        <v>38947.949999999997</v>
      </c>
      <c r="Y296" s="13">
        <f t="shared" si="85"/>
        <v>1.0499999999999998</v>
      </c>
      <c r="Z296" s="11">
        <f t="shared" si="86"/>
        <v>0</v>
      </c>
      <c r="AA296" s="10" t="s">
        <v>1074</v>
      </c>
      <c r="AB296" s="10" t="s">
        <v>1075</v>
      </c>
      <c r="AC296" s="2" t="s">
        <v>1076</v>
      </c>
    </row>
    <row r="297" spans="1:29" x14ac:dyDescent="0.3">
      <c r="A297" s="10">
        <v>184</v>
      </c>
      <c r="B297" s="2"/>
      <c r="C297" s="2">
        <v>1</v>
      </c>
      <c r="D297" s="10"/>
      <c r="E297" s="40">
        <v>15998</v>
      </c>
      <c r="F297" s="11">
        <f t="shared" si="77"/>
        <v>0</v>
      </c>
      <c r="G297" s="10"/>
      <c r="H297" s="11">
        <f t="shared" si="78"/>
        <v>0</v>
      </c>
      <c r="I297" s="66">
        <v>161</v>
      </c>
      <c r="J297" s="10" t="s">
        <v>1056</v>
      </c>
      <c r="K297" s="10"/>
      <c r="L297" s="10"/>
      <c r="M297" s="10"/>
      <c r="N297" s="12" t="s">
        <v>1077</v>
      </c>
      <c r="O297" s="10"/>
      <c r="P297" s="58">
        <v>25500</v>
      </c>
      <c r="Q297" s="13">
        <f t="shared" si="81"/>
        <v>0.59394924365545698</v>
      </c>
      <c r="R297" s="11">
        <f t="shared" si="82"/>
        <v>0</v>
      </c>
      <c r="S297" s="10"/>
      <c r="T297" s="58">
        <f t="shared" si="87"/>
        <v>28796.400000000001</v>
      </c>
      <c r="U297" s="13">
        <f t="shared" si="83"/>
        <v>0.8</v>
      </c>
      <c r="V297" s="11">
        <f t="shared" si="84"/>
        <v>0</v>
      </c>
      <c r="W297" s="10"/>
      <c r="X297" s="58">
        <f t="shared" si="88"/>
        <v>32795.899999999994</v>
      </c>
      <c r="Y297" s="13">
        <f t="shared" si="85"/>
        <v>1.0499999999999996</v>
      </c>
      <c r="Z297" s="11">
        <f t="shared" si="86"/>
        <v>0</v>
      </c>
      <c r="AA297" s="10" t="s">
        <v>1078</v>
      </c>
      <c r="AB297" s="10" t="s">
        <v>1079</v>
      </c>
      <c r="AC297" s="2" t="s">
        <v>1080</v>
      </c>
    </row>
    <row r="298" spans="1:29" x14ac:dyDescent="0.3">
      <c r="A298" s="10">
        <v>376</v>
      </c>
      <c r="B298" s="2"/>
      <c r="C298" s="2">
        <v>1</v>
      </c>
      <c r="D298" s="10"/>
      <c r="E298" s="40">
        <v>13900</v>
      </c>
      <c r="F298" s="11">
        <f t="shared" si="77"/>
        <v>0</v>
      </c>
      <c r="G298" s="10"/>
      <c r="H298" s="11">
        <f t="shared" si="78"/>
        <v>0</v>
      </c>
      <c r="I298" s="67">
        <v>162</v>
      </c>
      <c r="J298" s="10" t="s">
        <v>1085</v>
      </c>
      <c r="K298" s="10"/>
      <c r="L298" s="10"/>
      <c r="M298" s="10"/>
      <c r="N298" s="12" t="s">
        <v>1086</v>
      </c>
      <c r="O298" s="10"/>
      <c r="P298" s="58">
        <v>22200</v>
      </c>
      <c r="Q298" s="13">
        <f t="shared" si="81"/>
        <v>0.59712230215827333</v>
      </c>
      <c r="R298" s="11">
        <f t="shared" si="82"/>
        <v>0</v>
      </c>
      <c r="S298" s="10"/>
      <c r="T298" s="58">
        <f t="shared" si="87"/>
        <v>25020</v>
      </c>
      <c r="U298" s="13">
        <f t="shared" si="83"/>
        <v>0.8</v>
      </c>
      <c r="V298" s="11">
        <f t="shared" si="84"/>
        <v>0</v>
      </c>
      <c r="W298" s="10"/>
      <c r="X298" s="58">
        <f t="shared" si="88"/>
        <v>28494.999999999996</v>
      </c>
      <c r="Y298" s="13">
        <f t="shared" si="85"/>
        <v>1.0499999999999998</v>
      </c>
      <c r="Z298" s="11">
        <f t="shared" si="86"/>
        <v>0</v>
      </c>
      <c r="AA298" s="10" t="s">
        <v>1087</v>
      </c>
      <c r="AB298" s="10" t="s">
        <v>1088</v>
      </c>
      <c r="AC298" s="2"/>
    </row>
    <row r="299" spans="1:29" x14ac:dyDescent="0.3">
      <c r="A299" s="10">
        <v>382</v>
      </c>
      <c r="B299" s="2"/>
      <c r="C299" s="2">
        <v>1</v>
      </c>
      <c r="D299" s="10"/>
      <c r="E299" s="40">
        <v>1590</v>
      </c>
      <c r="F299" s="11">
        <f t="shared" si="77"/>
        <v>0</v>
      </c>
      <c r="G299" s="10"/>
      <c r="H299" s="11">
        <f t="shared" si="78"/>
        <v>0</v>
      </c>
      <c r="I299" s="66">
        <v>163</v>
      </c>
      <c r="J299" s="10" t="s">
        <v>978</v>
      </c>
      <c r="K299" s="10"/>
      <c r="L299" s="10"/>
      <c r="M299" s="10"/>
      <c r="N299" s="12" t="s">
        <v>1017</v>
      </c>
      <c r="O299" s="10"/>
      <c r="P299" s="58">
        <v>2500</v>
      </c>
      <c r="Q299" s="13">
        <f t="shared" si="81"/>
        <v>0.57232704402515722</v>
      </c>
      <c r="R299" s="11">
        <f t="shared" si="82"/>
        <v>0</v>
      </c>
      <c r="S299" s="10"/>
      <c r="T299" s="58">
        <f t="shared" si="87"/>
        <v>2862</v>
      </c>
      <c r="U299" s="13">
        <f t="shared" si="83"/>
        <v>0.8</v>
      </c>
      <c r="V299" s="11">
        <f t="shared" si="84"/>
        <v>0</v>
      </c>
      <c r="W299" s="10"/>
      <c r="X299" s="58">
        <f t="shared" si="88"/>
        <v>3259.4999999999995</v>
      </c>
      <c r="Y299" s="13">
        <f t="shared" si="85"/>
        <v>1.0499999999999998</v>
      </c>
      <c r="Z299" s="11">
        <f t="shared" si="86"/>
        <v>0</v>
      </c>
      <c r="AA299" s="10" t="s">
        <v>1018</v>
      </c>
      <c r="AB299" s="10" t="s">
        <v>1019</v>
      </c>
      <c r="AC299" s="2" t="s">
        <v>1020</v>
      </c>
    </row>
    <row r="300" spans="1:29" x14ac:dyDescent="0.3">
      <c r="A300" s="10">
        <v>189</v>
      </c>
      <c r="B300" s="2"/>
      <c r="C300" s="2">
        <v>1</v>
      </c>
      <c r="D300" s="10"/>
      <c r="E300" s="40">
        <v>2800</v>
      </c>
      <c r="F300" s="11">
        <f t="shared" si="77"/>
        <v>0</v>
      </c>
      <c r="G300" s="10"/>
      <c r="H300" s="11">
        <f t="shared" si="78"/>
        <v>0</v>
      </c>
      <c r="I300" s="67">
        <v>164</v>
      </c>
      <c r="J300" s="10" t="s">
        <v>342</v>
      </c>
      <c r="K300" s="10"/>
      <c r="L300" s="10"/>
      <c r="M300" s="10"/>
      <c r="N300" s="12" t="s">
        <v>1081</v>
      </c>
      <c r="O300" s="10"/>
      <c r="P300" s="58">
        <v>4400</v>
      </c>
      <c r="Q300" s="13">
        <f t="shared" si="81"/>
        <v>0.5714285714285714</v>
      </c>
      <c r="R300" s="11">
        <f t="shared" si="82"/>
        <v>0</v>
      </c>
      <c r="S300" s="10"/>
      <c r="T300" s="58">
        <f t="shared" si="87"/>
        <v>5040</v>
      </c>
      <c r="U300" s="13">
        <f t="shared" si="83"/>
        <v>0.8</v>
      </c>
      <c r="V300" s="11">
        <f t="shared" si="84"/>
        <v>0</v>
      </c>
      <c r="W300" s="10"/>
      <c r="X300" s="58">
        <f t="shared" si="88"/>
        <v>5739.9999999999991</v>
      </c>
      <c r="Y300" s="13">
        <f t="shared" si="85"/>
        <v>1.0499999999999996</v>
      </c>
      <c r="Z300" s="11">
        <f t="shared" si="86"/>
        <v>0</v>
      </c>
      <c r="AA300" s="10" t="s">
        <v>1082</v>
      </c>
      <c r="AB300" s="10" t="s">
        <v>1083</v>
      </c>
      <c r="AC300" s="2" t="s">
        <v>1084</v>
      </c>
    </row>
    <row r="301" spans="1:29" x14ac:dyDescent="0.3">
      <c r="A301" s="10">
        <v>339</v>
      </c>
      <c r="B301" s="2"/>
      <c r="C301" s="2">
        <v>1</v>
      </c>
      <c r="D301" s="10"/>
      <c r="E301" s="40">
        <v>2800</v>
      </c>
      <c r="F301" s="11">
        <f t="shared" si="77"/>
        <v>0</v>
      </c>
      <c r="G301" s="10"/>
      <c r="H301" s="11">
        <f t="shared" si="78"/>
        <v>0</v>
      </c>
      <c r="I301" s="66">
        <v>165</v>
      </c>
      <c r="J301" s="10" t="s">
        <v>1093</v>
      </c>
      <c r="K301" s="10"/>
      <c r="L301" s="10"/>
      <c r="M301" s="10"/>
      <c r="N301" s="12" t="s">
        <v>1094</v>
      </c>
      <c r="O301" s="10"/>
      <c r="P301" s="58">
        <v>4400</v>
      </c>
      <c r="Q301" s="13">
        <f t="shared" si="81"/>
        <v>0.5714285714285714</v>
      </c>
      <c r="R301" s="11">
        <f t="shared" si="82"/>
        <v>0</v>
      </c>
      <c r="S301" s="10"/>
      <c r="T301" s="58">
        <f t="shared" si="87"/>
        <v>5040</v>
      </c>
      <c r="U301" s="13">
        <f t="shared" si="83"/>
        <v>0.8</v>
      </c>
      <c r="V301" s="11">
        <f t="shared" si="84"/>
        <v>0</v>
      </c>
      <c r="W301" s="10"/>
      <c r="X301" s="58">
        <f t="shared" si="88"/>
        <v>5739.9999999999991</v>
      </c>
      <c r="Y301" s="13">
        <f t="shared" si="85"/>
        <v>1.0499999999999996</v>
      </c>
      <c r="Z301" s="11">
        <f t="shared" si="86"/>
        <v>0</v>
      </c>
      <c r="AA301" s="10" t="s">
        <v>1095</v>
      </c>
      <c r="AB301" s="10" t="s">
        <v>1096</v>
      </c>
      <c r="AC301" s="2"/>
    </row>
    <row r="302" spans="1:29" x14ac:dyDescent="0.3">
      <c r="A302" s="10">
        <v>185</v>
      </c>
      <c r="B302" s="2"/>
      <c r="C302" s="2">
        <v>1</v>
      </c>
      <c r="D302" s="10"/>
      <c r="E302" s="40">
        <v>4000</v>
      </c>
      <c r="F302" s="11">
        <f t="shared" si="77"/>
        <v>0</v>
      </c>
      <c r="G302" s="10"/>
      <c r="H302" s="11">
        <f t="shared" si="78"/>
        <v>0</v>
      </c>
      <c r="I302" s="67">
        <v>166</v>
      </c>
      <c r="J302" s="10" t="s">
        <v>1093</v>
      </c>
      <c r="K302" s="10"/>
      <c r="L302" s="10"/>
      <c r="M302" s="10"/>
      <c r="N302" s="12" t="s">
        <v>1097</v>
      </c>
      <c r="O302" s="10"/>
      <c r="P302" s="58">
        <v>6400</v>
      </c>
      <c r="Q302" s="13">
        <f t="shared" si="81"/>
        <v>0.6</v>
      </c>
      <c r="R302" s="11">
        <f t="shared" si="82"/>
        <v>0</v>
      </c>
      <c r="S302" s="10"/>
      <c r="T302" s="58">
        <f t="shared" si="87"/>
        <v>7200</v>
      </c>
      <c r="U302" s="13">
        <f t="shared" si="83"/>
        <v>0.8</v>
      </c>
      <c r="V302" s="11">
        <f t="shared" si="84"/>
        <v>0</v>
      </c>
      <c r="W302" s="10"/>
      <c r="X302" s="58">
        <f t="shared" si="88"/>
        <v>8200</v>
      </c>
      <c r="Y302" s="13">
        <f t="shared" si="85"/>
        <v>1.05</v>
      </c>
      <c r="Z302" s="11">
        <f t="shared" si="86"/>
        <v>0</v>
      </c>
      <c r="AA302" s="10" t="s">
        <v>1098</v>
      </c>
      <c r="AB302" s="10" t="s">
        <v>1099</v>
      </c>
      <c r="AC302" s="2" t="s">
        <v>1100</v>
      </c>
    </row>
    <row r="303" spans="1:29" x14ac:dyDescent="0.3">
      <c r="A303" s="10">
        <v>340</v>
      </c>
      <c r="B303" s="2"/>
      <c r="C303" s="2">
        <v>1</v>
      </c>
      <c r="D303" s="10"/>
      <c r="E303" s="40">
        <v>4000</v>
      </c>
      <c r="F303" s="11">
        <f t="shared" si="77"/>
        <v>0</v>
      </c>
      <c r="G303" s="10"/>
      <c r="H303" s="11">
        <f t="shared" si="78"/>
        <v>0</v>
      </c>
      <c r="I303" s="66">
        <v>167</v>
      </c>
      <c r="J303" s="10" t="s">
        <v>1093</v>
      </c>
      <c r="K303" s="10"/>
      <c r="L303" s="10"/>
      <c r="M303" s="10"/>
      <c r="N303" s="12" t="s">
        <v>1101</v>
      </c>
      <c r="O303" s="10"/>
      <c r="P303" s="58">
        <v>6400</v>
      </c>
      <c r="Q303" s="13">
        <f t="shared" si="81"/>
        <v>0.6</v>
      </c>
      <c r="R303" s="11">
        <f t="shared" si="82"/>
        <v>0</v>
      </c>
      <c r="S303" s="10"/>
      <c r="T303" s="58">
        <f t="shared" si="87"/>
        <v>7200</v>
      </c>
      <c r="U303" s="13">
        <f t="shared" si="83"/>
        <v>0.8</v>
      </c>
      <c r="V303" s="11">
        <f t="shared" si="84"/>
        <v>0</v>
      </c>
      <c r="W303" s="10"/>
      <c r="X303" s="58">
        <f t="shared" si="88"/>
        <v>8200</v>
      </c>
      <c r="Y303" s="13">
        <f t="shared" si="85"/>
        <v>1.05</v>
      </c>
      <c r="Z303" s="11">
        <f t="shared" si="86"/>
        <v>0</v>
      </c>
      <c r="AA303" s="10" t="s">
        <v>1102</v>
      </c>
      <c r="AB303" s="10" t="s">
        <v>1103</v>
      </c>
      <c r="AC303" s="2"/>
    </row>
    <row r="304" spans="1:29" x14ac:dyDescent="0.3">
      <c r="A304" s="10">
        <v>341</v>
      </c>
      <c r="B304" s="2"/>
      <c r="C304" s="2">
        <v>1</v>
      </c>
      <c r="D304" s="10"/>
      <c r="E304" s="40">
        <v>4000</v>
      </c>
      <c r="F304" s="11">
        <f t="shared" si="77"/>
        <v>0</v>
      </c>
      <c r="G304" s="10"/>
      <c r="H304" s="11">
        <f t="shared" si="78"/>
        <v>0</v>
      </c>
      <c r="I304" s="67">
        <v>168</v>
      </c>
      <c r="J304" s="10" t="s">
        <v>1093</v>
      </c>
      <c r="K304" s="10"/>
      <c r="L304" s="10"/>
      <c r="M304" s="10"/>
      <c r="N304" s="12" t="s">
        <v>1104</v>
      </c>
      <c r="O304" s="10"/>
      <c r="P304" s="58">
        <v>6400</v>
      </c>
      <c r="Q304" s="13">
        <f t="shared" si="81"/>
        <v>0.6</v>
      </c>
      <c r="R304" s="11">
        <f t="shared" si="82"/>
        <v>0</v>
      </c>
      <c r="S304" s="10"/>
      <c r="T304" s="58">
        <f t="shared" si="87"/>
        <v>7200</v>
      </c>
      <c r="U304" s="13">
        <f t="shared" si="83"/>
        <v>0.8</v>
      </c>
      <c r="V304" s="11">
        <f t="shared" si="84"/>
        <v>0</v>
      </c>
      <c r="W304" s="10"/>
      <c r="X304" s="58">
        <f t="shared" si="88"/>
        <v>8200</v>
      </c>
      <c r="Y304" s="13">
        <f t="shared" si="85"/>
        <v>1.05</v>
      </c>
      <c r="Z304" s="11">
        <f t="shared" si="86"/>
        <v>0</v>
      </c>
      <c r="AA304" s="10" t="s">
        <v>1105</v>
      </c>
      <c r="AB304" s="10" t="s">
        <v>1106</v>
      </c>
      <c r="AC304" s="2"/>
    </row>
    <row r="305" spans="1:29" x14ac:dyDescent="0.3">
      <c r="A305" s="10">
        <v>342</v>
      </c>
      <c r="B305" s="2"/>
      <c r="C305" s="2">
        <v>1</v>
      </c>
      <c r="D305" s="10"/>
      <c r="E305" s="40">
        <v>3500</v>
      </c>
      <c r="F305" s="11">
        <f t="shared" si="77"/>
        <v>0</v>
      </c>
      <c r="G305" s="10"/>
      <c r="H305" s="11">
        <f t="shared" si="78"/>
        <v>0</v>
      </c>
      <c r="I305" s="66">
        <v>169</v>
      </c>
      <c r="J305" s="10" t="s">
        <v>1093</v>
      </c>
      <c r="K305" s="10"/>
      <c r="L305" s="10"/>
      <c r="M305" s="10"/>
      <c r="N305" s="12" t="s">
        <v>1107</v>
      </c>
      <c r="O305" s="10"/>
      <c r="P305" s="58">
        <v>5600</v>
      </c>
      <c r="Q305" s="13">
        <f t="shared" si="81"/>
        <v>0.6</v>
      </c>
      <c r="R305" s="11">
        <f t="shared" si="82"/>
        <v>0</v>
      </c>
      <c r="S305" s="10"/>
      <c r="T305" s="58">
        <f t="shared" si="87"/>
        <v>6300</v>
      </c>
      <c r="U305" s="13">
        <f t="shared" si="83"/>
        <v>0.8</v>
      </c>
      <c r="V305" s="11">
        <f t="shared" si="84"/>
        <v>0</v>
      </c>
      <c r="W305" s="10"/>
      <c r="X305" s="58">
        <f t="shared" si="88"/>
        <v>7174.9999999999991</v>
      </c>
      <c r="Y305" s="13">
        <f t="shared" si="85"/>
        <v>1.0499999999999998</v>
      </c>
      <c r="Z305" s="11">
        <f t="shared" si="86"/>
        <v>0</v>
      </c>
      <c r="AA305" s="10" t="s">
        <v>1108</v>
      </c>
      <c r="AB305" s="10" t="s">
        <v>1109</v>
      </c>
      <c r="AC305" s="2"/>
    </row>
    <row r="306" spans="1:29" x14ac:dyDescent="0.3">
      <c r="A306" s="10">
        <v>343</v>
      </c>
      <c r="B306" s="2"/>
      <c r="C306" s="2">
        <v>1</v>
      </c>
      <c r="D306" s="10"/>
      <c r="E306" s="40">
        <v>12800</v>
      </c>
      <c r="F306" s="11">
        <f t="shared" si="77"/>
        <v>0</v>
      </c>
      <c r="G306" s="10"/>
      <c r="H306" s="11">
        <f t="shared" si="78"/>
        <v>0</v>
      </c>
      <c r="I306" s="67">
        <v>170</v>
      </c>
      <c r="J306" s="10" t="s">
        <v>1093</v>
      </c>
      <c r="K306" s="10"/>
      <c r="L306" s="10"/>
      <c r="M306" s="10"/>
      <c r="N306" s="12" t="s">
        <v>1118</v>
      </c>
      <c r="O306" s="10"/>
      <c r="P306" s="58">
        <v>20400</v>
      </c>
      <c r="Q306" s="13">
        <f t="shared" si="81"/>
        <v>0.59375</v>
      </c>
      <c r="R306" s="11">
        <f t="shared" si="82"/>
        <v>0</v>
      </c>
      <c r="S306" s="10"/>
      <c r="T306" s="58">
        <f t="shared" si="87"/>
        <v>23040</v>
      </c>
      <c r="U306" s="13">
        <f t="shared" si="83"/>
        <v>0.8</v>
      </c>
      <c r="V306" s="11">
        <f t="shared" si="84"/>
        <v>0</v>
      </c>
      <c r="W306" s="10"/>
      <c r="X306" s="58">
        <f t="shared" si="88"/>
        <v>26239.999999999996</v>
      </c>
      <c r="Y306" s="13">
        <f t="shared" si="85"/>
        <v>1.0499999999999998</v>
      </c>
      <c r="Z306" s="11">
        <f t="shared" si="86"/>
        <v>0</v>
      </c>
      <c r="AA306" s="10" t="s">
        <v>1119</v>
      </c>
      <c r="AB306" s="10" t="s">
        <v>1120</v>
      </c>
      <c r="AC306" s="2"/>
    </row>
    <row r="307" spans="1:29" x14ac:dyDescent="0.3">
      <c r="A307" s="10">
        <v>344</v>
      </c>
      <c r="B307" s="2"/>
      <c r="C307" s="2">
        <v>1</v>
      </c>
      <c r="D307" s="10"/>
      <c r="E307" s="40">
        <v>15500</v>
      </c>
      <c r="F307" s="11">
        <f t="shared" si="77"/>
        <v>0</v>
      </c>
      <c r="G307" s="10"/>
      <c r="H307" s="11">
        <f t="shared" si="78"/>
        <v>0</v>
      </c>
      <c r="I307" s="66">
        <v>171</v>
      </c>
      <c r="J307" s="10" t="s">
        <v>1093</v>
      </c>
      <c r="K307" s="10"/>
      <c r="L307" s="10"/>
      <c r="M307" s="10"/>
      <c r="N307" s="12" t="s">
        <v>1121</v>
      </c>
      <c r="O307" s="10"/>
      <c r="P307" s="58">
        <v>24800</v>
      </c>
      <c r="Q307" s="13">
        <f t="shared" si="81"/>
        <v>0.6</v>
      </c>
      <c r="R307" s="11">
        <f t="shared" si="82"/>
        <v>0</v>
      </c>
      <c r="S307" s="10"/>
      <c r="T307" s="58">
        <f t="shared" si="87"/>
        <v>27900</v>
      </c>
      <c r="U307" s="13">
        <f t="shared" si="83"/>
        <v>0.8</v>
      </c>
      <c r="V307" s="11">
        <f t="shared" si="84"/>
        <v>0</v>
      </c>
      <c r="W307" s="10"/>
      <c r="X307" s="58">
        <f t="shared" si="88"/>
        <v>31774.999999999996</v>
      </c>
      <c r="Y307" s="13">
        <f t="shared" si="85"/>
        <v>1.0499999999999998</v>
      </c>
      <c r="Z307" s="11">
        <f t="shared" si="86"/>
        <v>0</v>
      </c>
      <c r="AA307" s="10" t="s">
        <v>1122</v>
      </c>
      <c r="AB307" s="10" t="s">
        <v>1123</v>
      </c>
      <c r="AC307" s="2"/>
    </row>
    <row r="308" spans="1:29" x14ac:dyDescent="0.3">
      <c r="A308" s="10">
        <v>345</v>
      </c>
      <c r="B308" s="2"/>
      <c r="C308" s="2">
        <v>1</v>
      </c>
      <c r="D308" s="10"/>
      <c r="E308" s="40">
        <v>14000</v>
      </c>
      <c r="F308" s="11">
        <f t="shared" si="77"/>
        <v>0</v>
      </c>
      <c r="G308" s="10"/>
      <c r="H308" s="11">
        <f t="shared" si="78"/>
        <v>0</v>
      </c>
      <c r="I308" s="67">
        <v>172</v>
      </c>
      <c r="J308" s="10" t="s">
        <v>1093</v>
      </c>
      <c r="K308" s="10"/>
      <c r="L308" s="10"/>
      <c r="M308" s="10"/>
      <c r="N308" s="12" t="s">
        <v>1124</v>
      </c>
      <c r="O308" s="10"/>
      <c r="P308" s="58">
        <v>22400</v>
      </c>
      <c r="Q308" s="13">
        <f t="shared" si="81"/>
        <v>0.6</v>
      </c>
      <c r="R308" s="11">
        <f t="shared" si="82"/>
        <v>0</v>
      </c>
      <c r="S308" s="10"/>
      <c r="T308" s="58">
        <f t="shared" si="87"/>
        <v>25200</v>
      </c>
      <c r="U308" s="13">
        <f t="shared" si="83"/>
        <v>0.8</v>
      </c>
      <c r="V308" s="11">
        <f t="shared" si="84"/>
        <v>0</v>
      </c>
      <c r="W308" s="10"/>
      <c r="X308" s="58">
        <f t="shared" si="88"/>
        <v>28699.999999999996</v>
      </c>
      <c r="Y308" s="13">
        <f t="shared" si="85"/>
        <v>1.0499999999999998</v>
      </c>
      <c r="Z308" s="11">
        <f t="shared" si="86"/>
        <v>0</v>
      </c>
      <c r="AA308" s="10" t="s">
        <v>1125</v>
      </c>
      <c r="AB308" s="10" t="s">
        <v>1126</v>
      </c>
      <c r="AC308" s="2" t="s">
        <v>1127</v>
      </c>
    </row>
    <row r="309" spans="1:29" x14ac:dyDescent="0.3">
      <c r="A309" s="10">
        <v>229</v>
      </c>
      <c r="B309" s="2"/>
      <c r="C309" s="2">
        <v>1</v>
      </c>
      <c r="D309" s="10"/>
      <c r="E309" s="40">
        <v>21900</v>
      </c>
      <c r="F309" s="11">
        <f t="shared" si="77"/>
        <v>0</v>
      </c>
      <c r="G309" s="10"/>
      <c r="H309" s="11">
        <f t="shared" si="78"/>
        <v>0</v>
      </c>
      <c r="I309" s="66">
        <v>173</v>
      </c>
      <c r="J309" s="10" t="s">
        <v>397</v>
      </c>
      <c r="K309" s="10"/>
      <c r="L309" s="10"/>
      <c r="M309" s="10"/>
      <c r="N309" s="12" t="s">
        <v>1089</v>
      </c>
      <c r="O309" s="10"/>
      <c r="P309" s="58">
        <v>35000</v>
      </c>
      <c r="Q309" s="13">
        <f t="shared" si="81"/>
        <v>0.59817351598173518</v>
      </c>
      <c r="R309" s="11">
        <f t="shared" si="82"/>
        <v>0</v>
      </c>
      <c r="S309" s="10"/>
      <c r="T309" s="58">
        <f t="shared" si="87"/>
        <v>39420</v>
      </c>
      <c r="U309" s="13">
        <f t="shared" si="83"/>
        <v>0.8</v>
      </c>
      <c r="V309" s="11">
        <f t="shared" si="84"/>
        <v>0</v>
      </c>
      <c r="W309" s="10"/>
      <c r="X309" s="58">
        <f t="shared" si="88"/>
        <v>44894.999999999993</v>
      </c>
      <c r="Y309" s="13">
        <f t="shared" si="85"/>
        <v>1.0499999999999996</v>
      </c>
      <c r="Z309" s="11">
        <f t="shared" si="86"/>
        <v>0</v>
      </c>
      <c r="AA309" s="10" t="s">
        <v>1090</v>
      </c>
      <c r="AB309" s="10" t="s">
        <v>1091</v>
      </c>
      <c r="AC309" s="2" t="s">
        <v>1092</v>
      </c>
    </row>
    <row r="310" spans="1:29" x14ac:dyDescent="0.3">
      <c r="A310" s="10">
        <v>387</v>
      </c>
      <c r="B310" s="2"/>
      <c r="C310" s="2">
        <v>1</v>
      </c>
      <c r="D310" s="10"/>
      <c r="E310" s="40">
        <v>11900</v>
      </c>
      <c r="F310" s="11">
        <f t="shared" si="77"/>
        <v>0</v>
      </c>
      <c r="G310" s="10"/>
      <c r="H310" s="11">
        <f t="shared" si="78"/>
        <v>0</v>
      </c>
      <c r="I310" s="67">
        <v>174</v>
      </c>
      <c r="J310" s="10" t="s">
        <v>978</v>
      </c>
      <c r="K310" s="10"/>
      <c r="L310" s="10"/>
      <c r="M310" s="10"/>
      <c r="N310" s="12" t="s">
        <v>1110</v>
      </c>
      <c r="O310" s="10"/>
      <c r="P310" s="58">
        <v>19000</v>
      </c>
      <c r="Q310" s="13">
        <f t="shared" si="81"/>
        <v>0.59663865546218486</v>
      </c>
      <c r="R310" s="11">
        <f t="shared" si="82"/>
        <v>0</v>
      </c>
      <c r="S310" s="10"/>
      <c r="T310" s="58">
        <f t="shared" si="87"/>
        <v>21420</v>
      </c>
      <c r="U310" s="13">
        <f t="shared" si="83"/>
        <v>0.8</v>
      </c>
      <c r="V310" s="11">
        <f t="shared" si="84"/>
        <v>0</v>
      </c>
      <c r="W310" s="10"/>
      <c r="X310" s="58">
        <f t="shared" si="88"/>
        <v>24394.999999999996</v>
      </c>
      <c r="Y310" s="13">
        <f t="shared" si="85"/>
        <v>1.0499999999999996</v>
      </c>
      <c r="Z310" s="11">
        <f t="shared" si="86"/>
        <v>0</v>
      </c>
      <c r="AA310" s="10" t="s">
        <v>1111</v>
      </c>
      <c r="AB310" s="10" t="s">
        <v>1112</v>
      </c>
      <c r="AC310" s="2" t="s">
        <v>1113</v>
      </c>
    </row>
    <row r="311" spans="1:29" x14ac:dyDescent="0.3">
      <c r="A311" s="10">
        <v>263</v>
      </c>
      <c r="B311" s="2"/>
      <c r="C311" s="2">
        <v>1</v>
      </c>
      <c r="D311" s="10"/>
      <c r="E311" s="40">
        <v>16900</v>
      </c>
      <c r="F311" s="11">
        <f t="shared" si="77"/>
        <v>0</v>
      </c>
      <c r="G311" s="10"/>
      <c r="H311" s="11">
        <f t="shared" si="78"/>
        <v>0</v>
      </c>
      <c r="I311" s="66">
        <v>175</v>
      </c>
      <c r="J311" s="10" t="s">
        <v>397</v>
      </c>
      <c r="K311" s="10"/>
      <c r="L311" s="10"/>
      <c r="M311" s="10"/>
      <c r="N311" s="12" t="s">
        <v>1114</v>
      </c>
      <c r="O311" s="10"/>
      <c r="P311" s="58">
        <v>27000</v>
      </c>
      <c r="Q311" s="13">
        <f t="shared" si="81"/>
        <v>0.59763313609467461</v>
      </c>
      <c r="R311" s="11">
        <f t="shared" si="82"/>
        <v>0</v>
      </c>
      <c r="S311" s="10"/>
      <c r="T311" s="58">
        <f t="shared" si="87"/>
        <v>30420</v>
      </c>
      <c r="U311" s="13">
        <f t="shared" si="83"/>
        <v>0.8</v>
      </c>
      <c r="V311" s="11">
        <f t="shared" si="84"/>
        <v>0</v>
      </c>
      <c r="W311" s="10"/>
      <c r="X311" s="58">
        <f t="shared" si="88"/>
        <v>34645</v>
      </c>
      <c r="Y311" s="13">
        <f t="shared" si="85"/>
        <v>1.05</v>
      </c>
      <c r="Z311" s="11">
        <f t="shared" si="86"/>
        <v>0</v>
      </c>
      <c r="AA311" s="10" t="s">
        <v>1115</v>
      </c>
      <c r="AB311" s="10" t="s">
        <v>1116</v>
      </c>
      <c r="AC311" s="2" t="s">
        <v>1117</v>
      </c>
    </row>
    <row r="312" spans="1:29" x14ac:dyDescent="0.3">
      <c r="A312" s="10">
        <v>315</v>
      </c>
      <c r="B312" s="2"/>
      <c r="C312" s="2">
        <v>1</v>
      </c>
      <c r="D312" s="10"/>
      <c r="E312" s="40">
        <v>22999</v>
      </c>
      <c r="F312" s="11">
        <f t="shared" si="77"/>
        <v>0</v>
      </c>
      <c r="G312" s="10"/>
      <c r="H312" s="11">
        <f t="shared" si="78"/>
        <v>0</v>
      </c>
      <c r="I312" s="67">
        <v>176</v>
      </c>
      <c r="J312" s="10" t="s">
        <v>449</v>
      </c>
      <c r="K312" s="10"/>
      <c r="L312" s="10"/>
      <c r="M312" s="10"/>
      <c r="N312" s="12" t="s">
        <v>1137</v>
      </c>
      <c r="O312" s="10"/>
      <c r="P312" s="58">
        <v>36700</v>
      </c>
      <c r="Q312" s="13">
        <f t="shared" si="81"/>
        <v>0.59572155311100483</v>
      </c>
      <c r="R312" s="11">
        <f t="shared" si="82"/>
        <v>0</v>
      </c>
      <c r="S312" s="10"/>
      <c r="T312" s="58">
        <f t="shared" si="87"/>
        <v>41398.200000000004</v>
      </c>
      <c r="U312" s="13">
        <f t="shared" si="83"/>
        <v>0.80000000000000016</v>
      </c>
      <c r="V312" s="11">
        <f t="shared" si="84"/>
        <v>0</v>
      </c>
      <c r="W312" s="10"/>
      <c r="X312" s="58">
        <f t="shared" si="88"/>
        <v>47147.95</v>
      </c>
      <c r="Y312" s="13">
        <f t="shared" si="85"/>
        <v>1.0499999999999998</v>
      </c>
      <c r="Z312" s="11">
        <f t="shared" si="86"/>
        <v>0</v>
      </c>
      <c r="AA312" s="10" t="s">
        <v>1138</v>
      </c>
      <c r="AB312" s="10" t="s">
        <v>1139</v>
      </c>
      <c r="AC312" s="2" t="s">
        <v>1140</v>
      </c>
    </row>
    <row r="313" spans="1:29" x14ac:dyDescent="0.3">
      <c r="A313" s="10">
        <v>316</v>
      </c>
      <c r="B313" s="2"/>
      <c r="C313" s="2">
        <v>1</v>
      </c>
      <c r="D313" s="10"/>
      <c r="E313" s="40">
        <v>22999</v>
      </c>
      <c r="F313" s="11">
        <f t="shared" si="77"/>
        <v>0</v>
      </c>
      <c r="G313" s="10"/>
      <c r="H313" s="11">
        <f t="shared" si="78"/>
        <v>0</v>
      </c>
      <c r="I313" s="66">
        <v>177</v>
      </c>
      <c r="J313" s="10" t="s">
        <v>449</v>
      </c>
      <c r="K313" s="10"/>
      <c r="L313" s="10"/>
      <c r="M313" s="10"/>
      <c r="N313" s="12" t="s">
        <v>1141</v>
      </c>
      <c r="O313" s="10"/>
      <c r="P313" s="58">
        <v>36700</v>
      </c>
      <c r="Q313" s="13">
        <f t="shared" si="81"/>
        <v>0.59572155311100483</v>
      </c>
      <c r="R313" s="11">
        <f t="shared" si="82"/>
        <v>0</v>
      </c>
      <c r="S313" s="10"/>
      <c r="T313" s="58">
        <f t="shared" si="87"/>
        <v>41398.200000000004</v>
      </c>
      <c r="U313" s="13">
        <f t="shared" si="83"/>
        <v>0.80000000000000016</v>
      </c>
      <c r="V313" s="11">
        <f t="shared" si="84"/>
        <v>0</v>
      </c>
      <c r="W313" s="10"/>
      <c r="X313" s="58">
        <f t="shared" si="88"/>
        <v>47147.95</v>
      </c>
      <c r="Y313" s="13">
        <f t="shared" si="85"/>
        <v>1.0499999999999998</v>
      </c>
      <c r="Z313" s="11">
        <f t="shared" si="86"/>
        <v>0</v>
      </c>
      <c r="AA313" s="10" t="s">
        <v>1142</v>
      </c>
      <c r="AB313" s="10" t="s">
        <v>1143</v>
      </c>
      <c r="AC313" s="2" t="s">
        <v>1144</v>
      </c>
    </row>
    <row r="314" spans="1:29" x14ac:dyDescent="0.3">
      <c r="A314" s="10">
        <v>317</v>
      </c>
      <c r="B314" s="2"/>
      <c r="C314" s="2">
        <v>1</v>
      </c>
      <c r="D314" s="10"/>
      <c r="E314" s="40">
        <v>25500</v>
      </c>
      <c r="F314" s="11">
        <f t="shared" si="77"/>
        <v>0</v>
      </c>
      <c r="G314" s="10"/>
      <c r="H314" s="11">
        <f t="shared" si="78"/>
        <v>0</v>
      </c>
      <c r="I314" s="67">
        <v>178</v>
      </c>
      <c r="J314" s="10" t="s">
        <v>449</v>
      </c>
      <c r="K314" s="10"/>
      <c r="L314" s="10"/>
      <c r="M314" s="10"/>
      <c r="N314" s="12" t="s">
        <v>1145</v>
      </c>
      <c r="O314" s="10"/>
      <c r="P314" s="58">
        <v>40800</v>
      </c>
      <c r="Q314" s="13">
        <f t="shared" si="81"/>
        <v>0.6</v>
      </c>
      <c r="R314" s="11">
        <f t="shared" si="82"/>
        <v>0</v>
      </c>
      <c r="S314" s="10"/>
      <c r="T314" s="58">
        <f t="shared" si="87"/>
        <v>45900</v>
      </c>
      <c r="U314" s="13">
        <f t="shared" si="83"/>
        <v>0.8</v>
      </c>
      <c r="V314" s="11">
        <f t="shared" si="84"/>
        <v>0</v>
      </c>
      <c r="W314" s="10"/>
      <c r="X314" s="58">
        <f t="shared" si="88"/>
        <v>52274.999999999993</v>
      </c>
      <c r="Y314" s="13">
        <f t="shared" si="85"/>
        <v>1.0499999999999998</v>
      </c>
      <c r="Z314" s="11">
        <f t="shared" si="86"/>
        <v>0</v>
      </c>
      <c r="AA314" s="10" t="s">
        <v>1146</v>
      </c>
      <c r="AB314" s="10" t="s">
        <v>1147</v>
      </c>
      <c r="AC314" s="2" t="s">
        <v>1148</v>
      </c>
    </row>
    <row r="315" spans="1:29" x14ac:dyDescent="0.3">
      <c r="A315" s="10">
        <v>319</v>
      </c>
      <c r="B315" s="2"/>
      <c r="C315" s="2">
        <v>1</v>
      </c>
      <c r="D315" s="10"/>
      <c r="E315" s="40">
        <v>26500</v>
      </c>
      <c r="F315" s="11">
        <f t="shared" si="77"/>
        <v>0</v>
      </c>
      <c r="G315" s="10"/>
      <c r="H315" s="11">
        <f t="shared" si="78"/>
        <v>0</v>
      </c>
      <c r="I315" s="66">
        <v>179</v>
      </c>
      <c r="J315" s="10" t="s">
        <v>449</v>
      </c>
      <c r="K315" s="10"/>
      <c r="L315" s="10"/>
      <c r="M315" s="10"/>
      <c r="N315" s="12" t="s">
        <v>1149</v>
      </c>
      <c r="O315" s="10"/>
      <c r="P315" s="58">
        <v>42400</v>
      </c>
      <c r="Q315" s="13">
        <f t="shared" si="81"/>
        <v>0.6</v>
      </c>
      <c r="R315" s="11">
        <f t="shared" si="82"/>
        <v>0</v>
      </c>
      <c r="S315" s="10"/>
      <c r="T315" s="58">
        <f t="shared" si="87"/>
        <v>47700</v>
      </c>
      <c r="U315" s="13">
        <f t="shared" si="83"/>
        <v>0.8</v>
      </c>
      <c r="V315" s="11">
        <f t="shared" si="84"/>
        <v>0</v>
      </c>
      <c r="W315" s="10"/>
      <c r="X315" s="58">
        <f t="shared" si="88"/>
        <v>54324.999999999993</v>
      </c>
      <c r="Y315" s="13">
        <f t="shared" si="85"/>
        <v>1.0499999999999998</v>
      </c>
      <c r="Z315" s="11">
        <f t="shared" si="86"/>
        <v>0</v>
      </c>
      <c r="AA315" s="10" t="s">
        <v>1150</v>
      </c>
      <c r="AB315" s="10" t="s">
        <v>1151</v>
      </c>
      <c r="AC315" s="2" t="s">
        <v>1152</v>
      </c>
    </row>
    <row r="316" spans="1:29" x14ac:dyDescent="0.3">
      <c r="A316" s="10">
        <v>320</v>
      </c>
      <c r="B316" s="2"/>
      <c r="C316" s="2">
        <v>1</v>
      </c>
      <c r="D316" s="10"/>
      <c r="E316" s="40">
        <v>4500</v>
      </c>
      <c r="F316" s="11">
        <f t="shared" si="77"/>
        <v>0</v>
      </c>
      <c r="G316" s="10"/>
      <c r="H316" s="11">
        <f t="shared" si="78"/>
        <v>0</v>
      </c>
      <c r="I316" s="67">
        <v>180</v>
      </c>
      <c r="J316" s="10" t="s">
        <v>449</v>
      </c>
      <c r="K316" s="10"/>
      <c r="L316" s="10"/>
      <c r="M316" s="10"/>
      <c r="N316" s="12" t="s">
        <v>1153</v>
      </c>
      <c r="O316" s="10"/>
      <c r="P316" s="58">
        <v>7200</v>
      </c>
      <c r="Q316" s="13">
        <f t="shared" si="81"/>
        <v>0.6</v>
      </c>
      <c r="R316" s="11">
        <f t="shared" si="82"/>
        <v>0</v>
      </c>
      <c r="S316" s="10"/>
      <c r="T316" s="58">
        <f t="shared" si="87"/>
        <v>8100</v>
      </c>
      <c r="U316" s="13">
        <f t="shared" si="83"/>
        <v>0.8</v>
      </c>
      <c r="V316" s="11">
        <f t="shared" si="84"/>
        <v>0</v>
      </c>
      <c r="W316" s="10"/>
      <c r="X316" s="58">
        <f t="shared" si="88"/>
        <v>9225</v>
      </c>
      <c r="Y316" s="13">
        <f t="shared" si="85"/>
        <v>1.05</v>
      </c>
      <c r="Z316" s="11">
        <f t="shared" si="86"/>
        <v>0</v>
      </c>
      <c r="AA316" s="10" t="s">
        <v>1154</v>
      </c>
      <c r="AB316" s="10" t="s">
        <v>1155</v>
      </c>
      <c r="AC316" s="2" t="s">
        <v>1156</v>
      </c>
    </row>
    <row r="317" spans="1:29" x14ac:dyDescent="0.3">
      <c r="A317" s="49">
        <v>65</v>
      </c>
      <c r="B317" s="49">
        <v>50</v>
      </c>
      <c r="C317" s="49">
        <v>4</v>
      </c>
      <c r="D317" s="49">
        <v>9</v>
      </c>
      <c r="E317" s="50">
        <v>2900</v>
      </c>
      <c r="F317" s="51">
        <f t="shared" si="77"/>
        <v>26100</v>
      </c>
      <c r="G317" s="49"/>
      <c r="H317" s="51">
        <f t="shared" si="78"/>
        <v>0</v>
      </c>
      <c r="I317" s="66">
        <v>181</v>
      </c>
      <c r="J317" s="51" t="s">
        <v>449</v>
      </c>
      <c r="K317" s="51"/>
      <c r="L317" s="51" t="s">
        <v>517</v>
      </c>
      <c r="M317" s="51" t="s">
        <v>518</v>
      </c>
      <c r="N317" s="52" t="s">
        <v>1131</v>
      </c>
      <c r="O317" s="49">
        <v>9</v>
      </c>
      <c r="P317" s="70">
        <v>5500</v>
      </c>
      <c r="Q317" s="55">
        <f t="shared" si="81"/>
        <v>0.89655172413793105</v>
      </c>
      <c r="R317" s="54">
        <f t="shared" si="82"/>
        <v>49500</v>
      </c>
      <c r="S317" s="49"/>
      <c r="T317" s="50">
        <v>7000</v>
      </c>
      <c r="U317" s="53">
        <f t="shared" si="83"/>
        <v>1.4137931034482758</v>
      </c>
      <c r="V317" s="51">
        <f t="shared" si="84"/>
        <v>0</v>
      </c>
      <c r="W317" s="49"/>
      <c r="X317" s="50">
        <v>8000</v>
      </c>
      <c r="Y317" s="53">
        <f t="shared" si="85"/>
        <v>1.7586206896551724</v>
      </c>
      <c r="Z317" s="51">
        <f t="shared" si="86"/>
        <v>0</v>
      </c>
      <c r="AA317" s="49" t="s">
        <v>1132</v>
      </c>
      <c r="AB317" s="49"/>
      <c r="AC317" s="49"/>
    </row>
    <row r="318" spans="1:29" x14ac:dyDescent="0.3">
      <c r="A318" s="10">
        <v>321</v>
      </c>
      <c r="B318" s="2"/>
      <c r="C318" s="2">
        <v>1</v>
      </c>
      <c r="D318" s="10"/>
      <c r="E318" s="40">
        <v>2500</v>
      </c>
      <c r="F318" s="11">
        <f t="shared" si="77"/>
        <v>0</v>
      </c>
      <c r="G318" s="10"/>
      <c r="H318" s="11">
        <f t="shared" si="78"/>
        <v>0</v>
      </c>
      <c r="I318" s="67">
        <v>182</v>
      </c>
      <c r="J318" s="10" t="s">
        <v>449</v>
      </c>
      <c r="K318" s="10"/>
      <c r="L318" s="10"/>
      <c r="M318" s="10"/>
      <c r="N318" s="12" t="s">
        <v>1157</v>
      </c>
      <c r="O318" s="10"/>
      <c r="P318" s="58">
        <v>4000</v>
      </c>
      <c r="Q318" s="13">
        <f t="shared" si="81"/>
        <v>0.6</v>
      </c>
      <c r="R318" s="11">
        <f t="shared" si="82"/>
        <v>0</v>
      </c>
      <c r="S318" s="10"/>
      <c r="T318" s="58">
        <f t="shared" ref="T318:T325" si="89">E318*1.8</f>
        <v>4500</v>
      </c>
      <c r="U318" s="13">
        <f t="shared" si="83"/>
        <v>0.8</v>
      </c>
      <c r="V318" s="11">
        <f t="shared" si="84"/>
        <v>0</v>
      </c>
      <c r="W318" s="10"/>
      <c r="X318" s="58">
        <f t="shared" ref="X318:X325" si="90">E318*2.05</f>
        <v>5125</v>
      </c>
      <c r="Y318" s="13">
        <f t="shared" si="85"/>
        <v>1.05</v>
      </c>
      <c r="Z318" s="11">
        <f t="shared" si="86"/>
        <v>0</v>
      </c>
      <c r="AA318" s="10" t="s">
        <v>1158</v>
      </c>
      <c r="AB318" s="10" t="s">
        <v>1159</v>
      </c>
      <c r="AC318" s="2" t="s">
        <v>1160</v>
      </c>
    </row>
    <row r="319" spans="1:29" x14ac:dyDescent="0.3">
      <c r="A319" s="10">
        <v>322</v>
      </c>
      <c r="B319" s="2"/>
      <c r="C319" s="2">
        <v>1</v>
      </c>
      <c r="D319" s="10"/>
      <c r="E319" s="40">
        <v>16700</v>
      </c>
      <c r="F319" s="11">
        <f t="shared" si="77"/>
        <v>0</v>
      </c>
      <c r="G319" s="10"/>
      <c r="H319" s="11">
        <f t="shared" si="78"/>
        <v>0</v>
      </c>
      <c r="I319" s="66">
        <v>183</v>
      </c>
      <c r="J319" s="10" t="s">
        <v>449</v>
      </c>
      <c r="K319" s="10"/>
      <c r="L319" s="10"/>
      <c r="M319" s="10"/>
      <c r="N319" s="12" t="s">
        <v>1161</v>
      </c>
      <c r="O319" s="10"/>
      <c r="P319" s="58">
        <v>26700</v>
      </c>
      <c r="Q319" s="13">
        <f t="shared" si="81"/>
        <v>0.59880239520958078</v>
      </c>
      <c r="R319" s="11">
        <f t="shared" si="82"/>
        <v>0</v>
      </c>
      <c r="S319" s="10"/>
      <c r="T319" s="58">
        <f t="shared" si="89"/>
        <v>30060</v>
      </c>
      <c r="U319" s="13">
        <f t="shared" si="83"/>
        <v>0.8</v>
      </c>
      <c r="V319" s="11">
        <f t="shared" si="84"/>
        <v>0</v>
      </c>
      <c r="W319" s="10"/>
      <c r="X319" s="58">
        <f t="shared" si="90"/>
        <v>34235</v>
      </c>
      <c r="Y319" s="13">
        <f t="shared" si="85"/>
        <v>1.05</v>
      </c>
      <c r="Z319" s="11">
        <f t="shared" si="86"/>
        <v>0</v>
      </c>
      <c r="AA319" s="10" t="s">
        <v>1162</v>
      </c>
      <c r="AB319" s="10" t="s">
        <v>1163</v>
      </c>
      <c r="AC319" s="2"/>
    </row>
    <row r="320" spans="1:29" x14ac:dyDescent="0.3">
      <c r="A320" s="10">
        <v>323</v>
      </c>
      <c r="B320" s="2"/>
      <c r="C320" s="2">
        <v>1</v>
      </c>
      <c r="D320" s="10"/>
      <c r="E320" s="40">
        <v>12900</v>
      </c>
      <c r="F320" s="11">
        <f t="shared" si="77"/>
        <v>0</v>
      </c>
      <c r="G320" s="10"/>
      <c r="H320" s="11">
        <f t="shared" si="78"/>
        <v>0</v>
      </c>
      <c r="I320" s="67">
        <v>184</v>
      </c>
      <c r="J320" s="10" t="s">
        <v>449</v>
      </c>
      <c r="K320" s="10"/>
      <c r="L320" s="10"/>
      <c r="M320" s="10"/>
      <c r="N320" s="12" t="s">
        <v>1164</v>
      </c>
      <c r="O320" s="10"/>
      <c r="P320" s="58">
        <v>20600</v>
      </c>
      <c r="Q320" s="13">
        <f t="shared" si="81"/>
        <v>0.5968992248062015</v>
      </c>
      <c r="R320" s="11">
        <f t="shared" si="82"/>
        <v>0</v>
      </c>
      <c r="S320" s="10"/>
      <c r="T320" s="58">
        <f t="shared" si="89"/>
        <v>23220</v>
      </c>
      <c r="U320" s="13">
        <f t="shared" si="83"/>
        <v>0.8</v>
      </c>
      <c r="V320" s="11">
        <f t="shared" si="84"/>
        <v>0</v>
      </c>
      <c r="W320" s="10"/>
      <c r="X320" s="58">
        <f t="shared" si="90"/>
        <v>26444.999999999996</v>
      </c>
      <c r="Y320" s="13">
        <f t="shared" si="85"/>
        <v>1.0499999999999998</v>
      </c>
      <c r="Z320" s="11">
        <f t="shared" si="86"/>
        <v>0</v>
      </c>
      <c r="AA320" s="10" t="s">
        <v>1165</v>
      </c>
      <c r="AB320" s="10" t="s">
        <v>1166</v>
      </c>
      <c r="AC320" s="2"/>
    </row>
    <row r="321" spans="1:29" x14ac:dyDescent="0.3">
      <c r="A321" s="10">
        <v>324</v>
      </c>
      <c r="B321" s="2"/>
      <c r="C321" s="2">
        <v>1</v>
      </c>
      <c r="D321" s="10"/>
      <c r="E321" s="40">
        <v>18500</v>
      </c>
      <c r="F321" s="11">
        <f t="shared" si="77"/>
        <v>0</v>
      </c>
      <c r="G321" s="10"/>
      <c r="H321" s="11">
        <f t="shared" si="78"/>
        <v>0</v>
      </c>
      <c r="I321" s="66">
        <v>185</v>
      </c>
      <c r="J321" s="10" t="s">
        <v>449</v>
      </c>
      <c r="K321" s="10"/>
      <c r="L321" s="10"/>
      <c r="M321" s="10"/>
      <c r="N321" s="12" t="s">
        <v>1167</v>
      </c>
      <c r="O321" s="10"/>
      <c r="P321" s="58">
        <v>29600</v>
      </c>
      <c r="Q321" s="13">
        <f t="shared" si="81"/>
        <v>0.6</v>
      </c>
      <c r="R321" s="11">
        <f t="shared" si="82"/>
        <v>0</v>
      </c>
      <c r="S321" s="10"/>
      <c r="T321" s="58">
        <f t="shared" si="89"/>
        <v>33300</v>
      </c>
      <c r="U321" s="13">
        <f t="shared" si="83"/>
        <v>0.8</v>
      </c>
      <c r="V321" s="11">
        <f t="shared" si="84"/>
        <v>0</v>
      </c>
      <c r="W321" s="10"/>
      <c r="X321" s="58">
        <f t="shared" si="90"/>
        <v>37925</v>
      </c>
      <c r="Y321" s="13">
        <f t="shared" si="85"/>
        <v>1.05</v>
      </c>
      <c r="Z321" s="11">
        <f t="shared" si="86"/>
        <v>0</v>
      </c>
      <c r="AA321" s="10" t="s">
        <v>1168</v>
      </c>
      <c r="AB321" s="10" t="s">
        <v>1169</v>
      </c>
      <c r="AC321" s="2" t="s">
        <v>1170</v>
      </c>
    </row>
    <row r="322" spans="1:29" x14ac:dyDescent="0.3">
      <c r="A322" s="10">
        <v>325</v>
      </c>
      <c r="B322" s="2"/>
      <c r="C322" s="2">
        <v>1</v>
      </c>
      <c r="D322" s="10"/>
      <c r="E322" s="40">
        <v>26999</v>
      </c>
      <c r="F322" s="11">
        <f t="shared" si="77"/>
        <v>0</v>
      </c>
      <c r="G322" s="10"/>
      <c r="H322" s="11">
        <f t="shared" si="78"/>
        <v>0</v>
      </c>
      <c r="I322" s="67">
        <v>186</v>
      </c>
      <c r="J322" s="10" t="s">
        <v>449</v>
      </c>
      <c r="K322" s="10"/>
      <c r="L322" s="10"/>
      <c r="M322" s="10"/>
      <c r="N322" s="12" t="s">
        <v>1171</v>
      </c>
      <c r="O322" s="10"/>
      <c r="P322" s="58">
        <v>43100</v>
      </c>
      <c r="Q322" s="13">
        <f t="shared" si="81"/>
        <v>0.59635542057113222</v>
      </c>
      <c r="R322" s="11">
        <f t="shared" si="82"/>
        <v>0</v>
      </c>
      <c r="S322" s="10"/>
      <c r="T322" s="58">
        <f t="shared" si="89"/>
        <v>48598.200000000004</v>
      </c>
      <c r="U322" s="13">
        <f t="shared" si="83"/>
        <v>0.80000000000000016</v>
      </c>
      <c r="V322" s="11">
        <f t="shared" si="84"/>
        <v>0</v>
      </c>
      <c r="W322" s="10"/>
      <c r="X322" s="58">
        <f t="shared" si="90"/>
        <v>55347.95</v>
      </c>
      <c r="Y322" s="13">
        <f t="shared" si="85"/>
        <v>1.0499999999999998</v>
      </c>
      <c r="Z322" s="11">
        <f t="shared" si="86"/>
        <v>0</v>
      </c>
      <c r="AA322" s="10" t="s">
        <v>1172</v>
      </c>
      <c r="AB322" s="10" t="s">
        <v>1173</v>
      </c>
      <c r="AC322" s="2" t="s">
        <v>1174</v>
      </c>
    </row>
    <row r="323" spans="1:29" x14ac:dyDescent="0.3">
      <c r="A323" s="10">
        <v>326</v>
      </c>
      <c r="B323" s="2"/>
      <c r="C323" s="2">
        <v>1</v>
      </c>
      <c r="D323" s="10"/>
      <c r="E323" s="40">
        <v>26200</v>
      </c>
      <c r="F323" s="11">
        <f t="shared" si="77"/>
        <v>0</v>
      </c>
      <c r="G323" s="10"/>
      <c r="H323" s="11">
        <f t="shared" si="78"/>
        <v>0</v>
      </c>
      <c r="I323" s="66">
        <v>187</v>
      </c>
      <c r="J323" s="10" t="s">
        <v>449</v>
      </c>
      <c r="K323" s="10"/>
      <c r="L323" s="10"/>
      <c r="M323" s="10"/>
      <c r="N323" s="12" t="s">
        <v>1175</v>
      </c>
      <c r="O323" s="10"/>
      <c r="P323" s="58">
        <v>41900</v>
      </c>
      <c r="Q323" s="13">
        <f t="shared" si="81"/>
        <v>0.5992366412213741</v>
      </c>
      <c r="R323" s="11">
        <f t="shared" si="82"/>
        <v>0</v>
      </c>
      <c r="S323" s="10"/>
      <c r="T323" s="58">
        <f t="shared" si="89"/>
        <v>47160</v>
      </c>
      <c r="U323" s="13">
        <f t="shared" si="83"/>
        <v>0.8</v>
      </c>
      <c r="V323" s="11">
        <f t="shared" si="84"/>
        <v>0</v>
      </c>
      <c r="W323" s="10"/>
      <c r="X323" s="58">
        <f t="shared" si="90"/>
        <v>53709.999999999993</v>
      </c>
      <c r="Y323" s="13">
        <f t="shared" si="85"/>
        <v>1.0499999999999998</v>
      </c>
      <c r="Z323" s="11">
        <f t="shared" si="86"/>
        <v>0</v>
      </c>
      <c r="AA323" s="10" t="s">
        <v>1176</v>
      </c>
      <c r="AB323" s="10" t="s">
        <v>1177</v>
      </c>
      <c r="AC323" s="2" t="s">
        <v>1178</v>
      </c>
    </row>
    <row r="324" spans="1:29" x14ac:dyDescent="0.3">
      <c r="A324" s="10">
        <v>327</v>
      </c>
      <c r="B324" s="2"/>
      <c r="C324" s="2">
        <v>1</v>
      </c>
      <c r="D324" s="10"/>
      <c r="E324" s="40">
        <v>30899</v>
      </c>
      <c r="F324" s="11">
        <f t="shared" si="77"/>
        <v>0</v>
      </c>
      <c r="G324" s="10"/>
      <c r="H324" s="11">
        <f t="shared" si="78"/>
        <v>0</v>
      </c>
      <c r="I324" s="67">
        <v>188</v>
      </c>
      <c r="J324" s="10" t="s">
        <v>449</v>
      </c>
      <c r="K324" s="10"/>
      <c r="L324" s="10"/>
      <c r="M324" s="10"/>
      <c r="N324" s="12" t="s">
        <v>1179</v>
      </c>
      <c r="O324" s="10"/>
      <c r="P324" s="58">
        <v>49400</v>
      </c>
      <c r="Q324" s="13">
        <f t="shared" si="81"/>
        <v>0.59875724133467101</v>
      </c>
      <c r="R324" s="11">
        <f t="shared" si="82"/>
        <v>0</v>
      </c>
      <c r="S324" s="10"/>
      <c r="T324" s="58">
        <f t="shared" si="89"/>
        <v>55618.200000000004</v>
      </c>
      <c r="U324" s="13">
        <f t="shared" si="83"/>
        <v>0.80000000000000016</v>
      </c>
      <c r="V324" s="11">
        <f t="shared" si="84"/>
        <v>0</v>
      </c>
      <c r="W324" s="10"/>
      <c r="X324" s="58">
        <f t="shared" si="90"/>
        <v>63342.95</v>
      </c>
      <c r="Y324" s="13">
        <f t="shared" si="85"/>
        <v>1.0499999999999998</v>
      </c>
      <c r="Z324" s="11">
        <f t="shared" si="86"/>
        <v>0</v>
      </c>
      <c r="AA324" s="10" t="s">
        <v>1180</v>
      </c>
      <c r="AB324" s="10" t="s">
        <v>1181</v>
      </c>
      <c r="AC324" s="2" t="s">
        <v>1182</v>
      </c>
    </row>
    <row r="325" spans="1:29" x14ac:dyDescent="0.3">
      <c r="A325" s="10">
        <v>328</v>
      </c>
      <c r="B325" s="2"/>
      <c r="C325" s="2">
        <v>1</v>
      </c>
      <c r="D325" s="10"/>
      <c r="E325" s="40">
        <v>29500</v>
      </c>
      <c r="F325" s="11">
        <f t="shared" si="77"/>
        <v>0</v>
      </c>
      <c r="G325" s="10"/>
      <c r="H325" s="11">
        <f t="shared" si="78"/>
        <v>0</v>
      </c>
      <c r="I325" s="66">
        <v>189</v>
      </c>
      <c r="J325" s="10" t="s">
        <v>449</v>
      </c>
      <c r="K325" s="10"/>
      <c r="L325" s="10"/>
      <c r="M325" s="10"/>
      <c r="N325" s="12" t="s">
        <v>1183</v>
      </c>
      <c r="O325" s="10"/>
      <c r="P325" s="58">
        <v>47200</v>
      </c>
      <c r="Q325" s="13">
        <f t="shared" si="81"/>
        <v>0.6</v>
      </c>
      <c r="R325" s="11">
        <f t="shared" si="82"/>
        <v>0</v>
      </c>
      <c r="S325" s="10"/>
      <c r="T325" s="58">
        <f t="shared" si="89"/>
        <v>53100</v>
      </c>
      <c r="U325" s="13">
        <f t="shared" si="83"/>
        <v>0.8</v>
      </c>
      <c r="V325" s="11">
        <f t="shared" si="84"/>
        <v>0</v>
      </c>
      <c r="W325" s="10"/>
      <c r="X325" s="58">
        <f t="shared" si="90"/>
        <v>60474.999999999993</v>
      </c>
      <c r="Y325" s="13">
        <f t="shared" si="85"/>
        <v>1.0499999999999998</v>
      </c>
      <c r="Z325" s="11">
        <f t="shared" si="86"/>
        <v>0</v>
      </c>
      <c r="AA325" s="10" t="s">
        <v>1184</v>
      </c>
      <c r="AB325" s="10" t="s">
        <v>1185</v>
      </c>
      <c r="AC325" s="2"/>
    </row>
    <row r="326" spans="1:29" x14ac:dyDescent="0.3">
      <c r="A326" s="5">
        <v>63</v>
      </c>
      <c r="B326" s="5">
        <v>93</v>
      </c>
      <c r="C326" s="5">
        <v>3</v>
      </c>
      <c r="D326" s="5">
        <v>7</v>
      </c>
      <c r="E326" s="41">
        <v>4900</v>
      </c>
      <c r="F326" s="29">
        <f t="shared" si="77"/>
        <v>34300</v>
      </c>
      <c r="G326" s="5"/>
      <c r="H326" s="29">
        <f t="shared" si="78"/>
        <v>0</v>
      </c>
      <c r="I326" s="67">
        <v>190</v>
      </c>
      <c r="J326" s="5" t="s">
        <v>449</v>
      </c>
      <c r="K326" s="5"/>
      <c r="L326" s="5"/>
      <c r="M326" s="5" t="s">
        <v>518</v>
      </c>
      <c r="N326" s="6" t="s">
        <v>1128</v>
      </c>
      <c r="O326" s="5">
        <v>7</v>
      </c>
      <c r="P326" s="72">
        <v>7500</v>
      </c>
      <c r="Q326" s="33">
        <f t="shared" si="81"/>
        <v>0.53061224489795922</v>
      </c>
      <c r="R326" s="32">
        <f t="shared" si="82"/>
        <v>52500</v>
      </c>
      <c r="S326" s="5"/>
      <c r="T326" s="41">
        <v>8500</v>
      </c>
      <c r="U326" s="33">
        <f t="shared" si="83"/>
        <v>0.73469387755102045</v>
      </c>
      <c r="V326" s="29">
        <f t="shared" si="84"/>
        <v>0</v>
      </c>
      <c r="W326" s="5"/>
      <c r="X326" s="41">
        <v>10000</v>
      </c>
      <c r="Y326" s="33">
        <f t="shared" si="85"/>
        <v>1.0408163265306123</v>
      </c>
      <c r="Z326" s="29">
        <f t="shared" si="86"/>
        <v>0</v>
      </c>
      <c r="AA326" s="5" t="s">
        <v>1129</v>
      </c>
      <c r="AB326" s="5" t="s">
        <v>1130</v>
      </c>
      <c r="AC326" s="5"/>
    </row>
    <row r="327" spans="1:29" x14ac:dyDescent="0.3">
      <c r="A327" s="10">
        <v>329</v>
      </c>
      <c r="B327" s="2"/>
      <c r="C327" s="2">
        <v>1</v>
      </c>
      <c r="D327" s="10"/>
      <c r="E327" s="40">
        <v>2990</v>
      </c>
      <c r="F327" s="11">
        <f t="shared" si="77"/>
        <v>0</v>
      </c>
      <c r="G327" s="10"/>
      <c r="H327" s="11">
        <f t="shared" si="78"/>
        <v>0</v>
      </c>
      <c r="I327" s="66">
        <v>191</v>
      </c>
      <c r="J327" s="10" t="s">
        <v>449</v>
      </c>
      <c r="K327" s="10"/>
      <c r="L327" s="10"/>
      <c r="M327" s="10"/>
      <c r="N327" s="12" t="s">
        <v>1186</v>
      </c>
      <c r="O327" s="10"/>
      <c r="P327" s="58">
        <v>4700</v>
      </c>
      <c r="Q327" s="13">
        <f t="shared" si="81"/>
        <v>0.57190635451505012</v>
      </c>
      <c r="R327" s="11">
        <f t="shared" si="82"/>
        <v>0</v>
      </c>
      <c r="S327" s="10"/>
      <c r="T327" s="58">
        <f>E327*1.8</f>
        <v>5382</v>
      </c>
      <c r="U327" s="13">
        <f t="shared" si="83"/>
        <v>0.8</v>
      </c>
      <c r="V327" s="11">
        <f t="shared" si="84"/>
        <v>0</v>
      </c>
      <c r="W327" s="10"/>
      <c r="X327" s="58">
        <f>E327*2.05</f>
        <v>6129.4999999999991</v>
      </c>
      <c r="Y327" s="13">
        <f t="shared" si="85"/>
        <v>1.0499999999999996</v>
      </c>
      <c r="Z327" s="11">
        <f t="shared" si="86"/>
        <v>0</v>
      </c>
      <c r="AA327" s="10" t="s">
        <v>1187</v>
      </c>
      <c r="AB327" s="10" t="s">
        <v>1188</v>
      </c>
      <c r="AC327" s="2" t="s">
        <v>1189</v>
      </c>
    </row>
    <row r="328" spans="1:29" x14ac:dyDescent="0.3">
      <c r="A328" s="10">
        <v>330</v>
      </c>
      <c r="B328" s="2"/>
      <c r="C328" s="2">
        <v>1</v>
      </c>
      <c r="D328" s="10"/>
      <c r="E328" s="40">
        <v>6000</v>
      </c>
      <c r="F328" s="11">
        <f t="shared" si="77"/>
        <v>0</v>
      </c>
      <c r="G328" s="10"/>
      <c r="H328" s="11">
        <f t="shared" si="78"/>
        <v>0</v>
      </c>
      <c r="I328" s="67">
        <v>192</v>
      </c>
      <c r="J328" s="10" t="s">
        <v>449</v>
      </c>
      <c r="K328" s="10"/>
      <c r="L328" s="10"/>
      <c r="M328" s="10"/>
      <c r="N328" s="12" t="s">
        <v>1190</v>
      </c>
      <c r="O328" s="10"/>
      <c r="P328" s="58">
        <v>9600</v>
      </c>
      <c r="Q328" s="13">
        <f t="shared" si="81"/>
        <v>0.6</v>
      </c>
      <c r="R328" s="11">
        <f t="shared" si="82"/>
        <v>0</v>
      </c>
      <c r="S328" s="10"/>
      <c r="T328" s="58">
        <f>E328*1.8</f>
        <v>10800</v>
      </c>
      <c r="U328" s="13">
        <f t="shared" si="83"/>
        <v>0.8</v>
      </c>
      <c r="V328" s="11">
        <f t="shared" si="84"/>
        <v>0</v>
      </c>
      <c r="W328" s="10"/>
      <c r="X328" s="58">
        <f>E328*2.05</f>
        <v>12299.999999999998</v>
      </c>
      <c r="Y328" s="13">
        <f t="shared" si="85"/>
        <v>1.0499999999999996</v>
      </c>
      <c r="Z328" s="11">
        <f t="shared" si="86"/>
        <v>0</v>
      </c>
      <c r="AA328" s="10" t="s">
        <v>1191</v>
      </c>
      <c r="AB328" s="10" t="s">
        <v>1192</v>
      </c>
      <c r="AC328" s="2"/>
    </row>
    <row r="329" spans="1:29" x14ac:dyDescent="0.3">
      <c r="A329" s="49">
        <v>67</v>
      </c>
      <c r="B329" s="49">
        <v>97</v>
      </c>
      <c r="C329" s="49">
        <v>4</v>
      </c>
      <c r="D329" s="49">
        <v>12</v>
      </c>
      <c r="E329" s="50">
        <v>1850</v>
      </c>
      <c r="F329" s="51">
        <f t="shared" ref="F329:F392" si="91">D329*E329</f>
        <v>22200</v>
      </c>
      <c r="G329" s="49"/>
      <c r="H329" s="51">
        <f t="shared" ref="H329:H392" si="92">E329*G329</f>
        <v>0</v>
      </c>
      <c r="I329" s="66">
        <v>193</v>
      </c>
      <c r="J329" s="51" t="s">
        <v>449</v>
      </c>
      <c r="K329" s="51"/>
      <c r="L329" s="51" t="s">
        <v>517</v>
      </c>
      <c r="M329" s="51" t="s">
        <v>518</v>
      </c>
      <c r="N329" s="52" t="s">
        <v>1133</v>
      </c>
      <c r="O329" s="49">
        <v>12</v>
      </c>
      <c r="P329" s="71">
        <v>2500</v>
      </c>
      <c r="Q329" s="53">
        <f t="shared" si="81"/>
        <v>0.35135135135135137</v>
      </c>
      <c r="R329" s="51">
        <f t="shared" si="82"/>
        <v>30000</v>
      </c>
      <c r="S329" s="49"/>
      <c r="T329" s="50">
        <v>3400</v>
      </c>
      <c r="U329" s="53">
        <f t="shared" si="83"/>
        <v>0.83783783783783783</v>
      </c>
      <c r="V329" s="51">
        <f t="shared" si="84"/>
        <v>0</v>
      </c>
      <c r="W329" s="49"/>
      <c r="X329" s="50">
        <v>3900</v>
      </c>
      <c r="Y329" s="53">
        <f t="shared" si="85"/>
        <v>1.1081081081081081</v>
      </c>
      <c r="Z329" s="51">
        <f t="shared" si="86"/>
        <v>0</v>
      </c>
      <c r="AA329" s="49" t="s">
        <v>1134</v>
      </c>
      <c r="AB329" s="49"/>
      <c r="AC329" s="49"/>
    </row>
    <row r="330" spans="1:29" x14ac:dyDescent="0.3">
      <c r="A330" s="37">
        <v>565</v>
      </c>
      <c r="B330" s="37"/>
      <c r="C330" s="37">
        <v>5</v>
      </c>
      <c r="D330" s="5">
        <v>6</v>
      </c>
      <c r="E330" s="44">
        <v>3200</v>
      </c>
      <c r="F330" s="38">
        <f t="shared" si="91"/>
        <v>19200</v>
      </c>
      <c r="G330" s="37"/>
      <c r="H330" s="38">
        <f t="shared" si="92"/>
        <v>0</v>
      </c>
      <c r="I330" s="67">
        <v>194</v>
      </c>
      <c r="J330" s="37" t="s">
        <v>449</v>
      </c>
      <c r="K330" s="37" t="s">
        <v>1960</v>
      </c>
      <c r="L330" s="37"/>
      <c r="M330" s="37"/>
      <c r="N330" s="36" t="s">
        <v>1218</v>
      </c>
      <c r="O330" s="37">
        <v>6</v>
      </c>
      <c r="P330" s="44">
        <v>5100</v>
      </c>
      <c r="Q330" s="45">
        <f t="shared" si="81"/>
        <v>0.59375</v>
      </c>
      <c r="R330" s="46">
        <f t="shared" si="82"/>
        <v>30600</v>
      </c>
      <c r="S330" s="37"/>
      <c r="T330" s="44">
        <f t="shared" ref="T330:T335" si="93">E330*1.8</f>
        <v>5760</v>
      </c>
      <c r="U330" s="45">
        <f t="shared" si="83"/>
        <v>0.8</v>
      </c>
      <c r="V330" s="38">
        <f t="shared" si="84"/>
        <v>0</v>
      </c>
      <c r="W330" s="37"/>
      <c r="X330" s="44">
        <f t="shared" ref="X330:X335" si="94">E330*2.05</f>
        <v>6559.9999999999991</v>
      </c>
      <c r="Y330" s="45">
        <f t="shared" si="85"/>
        <v>1.0499999999999998</v>
      </c>
      <c r="Z330" s="38">
        <f t="shared" si="86"/>
        <v>0</v>
      </c>
      <c r="AA330" s="37" t="s">
        <v>1219</v>
      </c>
      <c r="AB330" s="37" t="s">
        <v>1220</v>
      </c>
      <c r="AC330" s="37"/>
    </row>
    <row r="331" spans="1:29" x14ac:dyDescent="0.3">
      <c r="A331" s="37">
        <v>566</v>
      </c>
      <c r="B331" s="37"/>
      <c r="C331" s="37">
        <v>5</v>
      </c>
      <c r="D331" s="37"/>
      <c r="E331" s="44">
        <v>3500</v>
      </c>
      <c r="F331" s="38">
        <f t="shared" si="91"/>
        <v>0</v>
      </c>
      <c r="G331" s="37"/>
      <c r="H331" s="38">
        <f t="shared" si="92"/>
        <v>0</v>
      </c>
      <c r="I331" s="66">
        <v>195</v>
      </c>
      <c r="J331" s="37" t="s">
        <v>449</v>
      </c>
      <c r="K331" s="37" t="s">
        <v>1960</v>
      </c>
      <c r="L331" s="37"/>
      <c r="M331" s="37"/>
      <c r="N331" s="36" t="s">
        <v>1221</v>
      </c>
      <c r="O331" s="37"/>
      <c r="P331" s="44">
        <v>5600</v>
      </c>
      <c r="Q331" s="45">
        <f t="shared" si="81"/>
        <v>0.6</v>
      </c>
      <c r="R331" s="46">
        <f t="shared" si="82"/>
        <v>0</v>
      </c>
      <c r="S331" s="37"/>
      <c r="T331" s="44">
        <f t="shared" si="93"/>
        <v>6300</v>
      </c>
      <c r="U331" s="45">
        <f t="shared" si="83"/>
        <v>0.8</v>
      </c>
      <c r="V331" s="38">
        <f t="shared" si="84"/>
        <v>0</v>
      </c>
      <c r="W331" s="37"/>
      <c r="X331" s="44">
        <f t="shared" si="94"/>
        <v>7174.9999999999991</v>
      </c>
      <c r="Y331" s="45">
        <f t="shared" si="85"/>
        <v>1.0499999999999998</v>
      </c>
      <c r="Z331" s="38">
        <f t="shared" si="86"/>
        <v>0</v>
      </c>
      <c r="AA331" s="37" t="s">
        <v>1222</v>
      </c>
      <c r="AB331" s="37" t="s">
        <v>1223</v>
      </c>
      <c r="AC331" s="37"/>
    </row>
    <row r="332" spans="1:29" x14ac:dyDescent="0.3">
      <c r="A332" s="10">
        <v>332</v>
      </c>
      <c r="B332" s="2"/>
      <c r="C332" s="2">
        <v>1</v>
      </c>
      <c r="D332" s="10"/>
      <c r="E332" s="40">
        <v>6500</v>
      </c>
      <c r="F332" s="11">
        <f t="shared" si="91"/>
        <v>0</v>
      </c>
      <c r="G332" s="10"/>
      <c r="H332" s="11">
        <f t="shared" si="92"/>
        <v>0</v>
      </c>
      <c r="I332" s="67">
        <v>196</v>
      </c>
      <c r="J332" s="10" t="s">
        <v>449</v>
      </c>
      <c r="K332" s="10"/>
      <c r="L332" s="10"/>
      <c r="M332" s="10"/>
      <c r="N332" s="12" t="s">
        <v>1193</v>
      </c>
      <c r="O332" s="10"/>
      <c r="P332" s="58">
        <v>10400</v>
      </c>
      <c r="Q332" s="13">
        <f t="shared" si="81"/>
        <v>0.6</v>
      </c>
      <c r="R332" s="11">
        <f t="shared" si="82"/>
        <v>0</v>
      </c>
      <c r="S332" s="10"/>
      <c r="T332" s="58">
        <f t="shared" si="93"/>
        <v>11700</v>
      </c>
      <c r="U332" s="13">
        <f t="shared" si="83"/>
        <v>0.8</v>
      </c>
      <c r="V332" s="11">
        <f t="shared" si="84"/>
        <v>0</v>
      </c>
      <c r="W332" s="10"/>
      <c r="X332" s="58">
        <f t="shared" si="94"/>
        <v>13324.999999999998</v>
      </c>
      <c r="Y332" s="13">
        <f t="shared" si="85"/>
        <v>1.0499999999999998</v>
      </c>
      <c r="Z332" s="11">
        <f t="shared" si="86"/>
        <v>0</v>
      </c>
      <c r="AA332" s="10" t="s">
        <v>1194</v>
      </c>
      <c r="AB332" s="10" t="s">
        <v>1195</v>
      </c>
      <c r="AC332" s="2" t="s">
        <v>1196</v>
      </c>
    </row>
    <row r="333" spans="1:29" x14ac:dyDescent="0.3">
      <c r="A333" s="10">
        <v>333</v>
      </c>
      <c r="B333" s="2"/>
      <c r="C333" s="2">
        <v>1</v>
      </c>
      <c r="D333" s="10"/>
      <c r="E333" s="40">
        <v>7949</v>
      </c>
      <c r="F333" s="11">
        <f t="shared" si="91"/>
        <v>0</v>
      </c>
      <c r="G333" s="10"/>
      <c r="H333" s="11">
        <f t="shared" si="92"/>
        <v>0</v>
      </c>
      <c r="I333" s="66">
        <v>197</v>
      </c>
      <c r="J333" s="10" t="s">
        <v>449</v>
      </c>
      <c r="K333" s="10"/>
      <c r="L333" s="10"/>
      <c r="M333" s="10"/>
      <c r="N333" s="12" t="s">
        <v>1197</v>
      </c>
      <c r="O333" s="10"/>
      <c r="P333" s="58">
        <v>12700</v>
      </c>
      <c r="Q333" s="13">
        <f t="shared" si="81"/>
        <v>0.59768524342684615</v>
      </c>
      <c r="R333" s="11">
        <f t="shared" si="82"/>
        <v>0</v>
      </c>
      <c r="S333" s="10"/>
      <c r="T333" s="58">
        <f t="shared" si="93"/>
        <v>14308.2</v>
      </c>
      <c r="U333" s="13">
        <f t="shared" si="83"/>
        <v>0.8</v>
      </c>
      <c r="V333" s="11">
        <f t="shared" si="84"/>
        <v>0</v>
      </c>
      <c r="W333" s="10"/>
      <c r="X333" s="58">
        <f t="shared" si="94"/>
        <v>16295.449999999999</v>
      </c>
      <c r="Y333" s="13">
        <f t="shared" si="85"/>
        <v>1.0499999999999998</v>
      </c>
      <c r="Z333" s="11">
        <f t="shared" si="86"/>
        <v>0</v>
      </c>
      <c r="AA333" s="10" t="s">
        <v>1198</v>
      </c>
      <c r="AB333" s="10" t="s">
        <v>1199</v>
      </c>
      <c r="AC333" s="2" t="s">
        <v>1196</v>
      </c>
    </row>
    <row r="334" spans="1:29" x14ac:dyDescent="0.3">
      <c r="A334" s="10">
        <v>334</v>
      </c>
      <c r="B334" s="2"/>
      <c r="C334" s="2">
        <v>1</v>
      </c>
      <c r="D334" s="10"/>
      <c r="E334" s="40">
        <v>5100</v>
      </c>
      <c r="F334" s="11">
        <f t="shared" si="91"/>
        <v>0</v>
      </c>
      <c r="G334" s="10"/>
      <c r="H334" s="11">
        <f t="shared" si="92"/>
        <v>0</v>
      </c>
      <c r="I334" s="67">
        <v>198</v>
      </c>
      <c r="J334" s="10" t="s">
        <v>449</v>
      </c>
      <c r="K334" s="10"/>
      <c r="L334" s="10"/>
      <c r="M334" s="10"/>
      <c r="N334" s="12" t="s">
        <v>1200</v>
      </c>
      <c r="O334" s="10"/>
      <c r="P334" s="58">
        <v>8100</v>
      </c>
      <c r="Q334" s="13">
        <f t="shared" si="81"/>
        <v>0.58823529411764708</v>
      </c>
      <c r="R334" s="11">
        <f t="shared" si="82"/>
        <v>0</v>
      </c>
      <c r="S334" s="10"/>
      <c r="T334" s="58">
        <f t="shared" si="93"/>
        <v>9180</v>
      </c>
      <c r="U334" s="13">
        <f t="shared" si="83"/>
        <v>0.8</v>
      </c>
      <c r="V334" s="11">
        <f t="shared" si="84"/>
        <v>0</v>
      </c>
      <c r="W334" s="10"/>
      <c r="X334" s="58">
        <f t="shared" si="94"/>
        <v>10455</v>
      </c>
      <c r="Y334" s="13">
        <f t="shared" si="85"/>
        <v>1.05</v>
      </c>
      <c r="Z334" s="11">
        <f t="shared" si="86"/>
        <v>0</v>
      </c>
      <c r="AA334" s="10" t="s">
        <v>1201</v>
      </c>
      <c r="AB334" s="10" t="s">
        <v>1202</v>
      </c>
      <c r="AC334" s="2"/>
    </row>
    <row r="335" spans="1:29" x14ac:dyDescent="0.3">
      <c r="A335" s="10">
        <v>335</v>
      </c>
      <c r="B335" s="2"/>
      <c r="C335" s="2">
        <v>1</v>
      </c>
      <c r="D335" s="10"/>
      <c r="E335" s="40">
        <v>5600</v>
      </c>
      <c r="F335" s="11">
        <f t="shared" si="91"/>
        <v>0</v>
      </c>
      <c r="G335" s="10"/>
      <c r="H335" s="11">
        <f t="shared" si="92"/>
        <v>0</v>
      </c>
      <c r="I335" s="66">
        <v>199</v>
      </c>
      <c r="J335" s="10" t="s">
        <v>449</v>
      </c>
      <c r="K335" s="10"/>
      <c r="L335" s="10"/>
      <c r="M335" s="10"/>
      <c r="N335" s="12" t="s">
        <v>1203</v>
      </c>
      <c r="O335" s="10"/>
      <c r="P335" s="58">
        <v>8900</v>
      </c>
      <c r="Q335" s="13">
        <f t="shared" si="81"/>
        <v>0.5892857142857143</v>
      </c>
      <c r="R335" s="11">
        <f t="shared" si="82"/>
        <v>0</v>
      </c>
      <c r="S335" s="10"/>
      <c r="T335" s="58">
        <f t="shared" si="93"/>
        <v>10080</v>
      </c>
      <c r="U335" s="13">
        <f t="shared" si="83"/>
        <v>0.8</v>
      </c>
      <c r="V335" s="11">
        <f t="shared" si="84"/>
        <v>0</v>
      </c>
      <c r="W335" s="10"/>
      <c r="X335" s="58">
        <f t="shared" si="94"/>
        <v>11479.999999999998</v>
      </c>
      <c r="Y335" s="13">
        <f t="shared" si="85"/>
        <v>1.0499999999999996</v>
      </c>
      <c r="Z335" s="11">
        <f t="shared" si="86"/>
        <v>0</v>
      </c>
      <c r="AA335" s="10" t="s">
        <v>1204</v>
      </c>
      <c r="AB335" s="10" t="s">
        <v>1205</v>
      </c>
      <c r="AC335" s="2" t="s">
        <v>1206</v>
      </c>
    </row>
    <row r="336" spans="1:29" x14ac:dyDescent="0.3">
      <c r="A336" s="49">
        <v>66</v>
      </c>
      <c r="B336" s="49">
        <v>96</v>
      </c>
      <c r="C336" s="49">
        <v>4</v>
      </c>
      <c r="D336" s="49">
        <v>14</v>
      </c>
      <c r="E336" s="50">
        <v>1650</v>
      </c>
      <c r="F336" s="51">
        <f t="shared" si="91"/>
        <v>23100</v>
      </c>
      <c r="G336" s="49"/>
      <c r="H336" s="51">
        <f t="shared" si="92"/>
        <v>0</v>
      </c>
      <c r="I336" s="67">
        <v>200</v>
      </c>
      <c r="J336" s="51" t="s">
        <v>449</v>
      </c>
      <c r="K336" s="51"/>
      <c r="L336" s="51" t="s">
        <v>517</v>
      </c>
      <c r="M336" s="51" t="s">
        <v>518</v>
      </c>
      <c r="N336" s="52" t="s">
        <v>1135</v>
      </c>
      <c r="O336" s="49">
        <v>14</v>
      </c>
      <c r="P336" s="71">
        <v>2500</v>
      </c>
      <c r="Q336" s="53">
        <f t="shared" si="81"/>
        <v>0.51515151515151514</v>
      </c>
      <c r="R336" s="51">
        <f t="shared" si="82"/>
        <v>35000</v>
      </c>
      <c r="S336" s="49"/>
      <c r="T336" s="50">
        <v>3000</v>
      </c>
      <c r="U336" s="53">
        <f t="shared" si="83"/>
        <v>0.81818181818181823</v>
      </c>
      <c r="V336" s="51">
        <f t="shared" si="84"/>
        <v>0</v>
      </c>
      <c r="W336" s="49"/>
      <c r="X336" s="50">
        <v>3500</v>
      </c>
      <c r="Y336" s="53">
        <f t="shared" si="85"/>
        <v>1.1212121212121211</v>
      </c>
      <c r="Z336" s="51">
        <f t="shared" si="86"/>
        <v>0</v>
      </c>
      <c r="AA336" s="49" t="s">
        <v>1136</v>
      </c>
      <c r="AB336" s="49"/>
      <c r="AC336" s="49"/>
    </row>
    <row r="337" spans="1:29" x14ac:dyDescent="0.3">
      <c r="A337" s="10">
        <v>336</v>
      </c>
      <c r="B337" s="2"/>
      <c r="C337" s="2">
        <v>1</v>
      </c>
      <c r="D337" s="10"/>
      <c r="E337" s="40">
        <v>54997</v>
      </c>
      <c r="F337" s="11">
        <f t="shared" si="91"/>
        <v>0</v>
      </c>
      <c r="G337" s="10"/>
      <c r="H337" s="11">
        <f t="shared" si="92"/>
        <v>0</v>
      </c>
      <c r="I337" s="66">
        <v>201</v>
      </c>
      <c r="J337" s="10" t="s">
        <v>449</v>
      </c>
      <c r="K337" s="10"/>
      <c r="L337" s="10"/>
      <c r="M337" s="10"/>
      <c r="N337" s="12" t="s">
        <v>1207</v>
      </c>
      <c r="O337" s="10"/>
      <c r="P337" s="58">
        <v>87900</v>
      </c>
      <c r="Q337" s="13">
        <f t="shared" si="81"/>
        <v>0.59826899649071763</v>
      </c>
      <c r="R337" s="11">
        <f t="shared" si="82"/>
        <v>0</v>
      </c>
      <c r="S337" s="10"/>
      <c r="T337" s="58">
        <f>E337*1.8</f>
        <v>98994.6</v>
      </c>
      <c r="U337" s="13">
        <f t="shared" si="83"/>
        <v>0.80000000000000016</v>
      </c>
      <c r="V337" s="11">
        <f t="shared" si="84"/>
        <v>0</v>
      </c>
      <c r="W337" s="10"/>
      <c r="X337" s="58">
        <f>E337*2.05</f>
        <v>112743.84999999999</v>
      </c>
      <c r="Y337" s="13">
        <f t="shared" si="85"/>
        <v>1.0499999999999998</v>
      </c>
      <c r="Z337" s="11">
        <f t="shared" si="86"/>
        <v>0</v>
      </c>
      <c r="AA337" s="10" t="s">
        <v>1208</v>
      </c>
      <c r="AB337" s="10" t="s">
        <v>1209</v>
      </c>
      <c r="AC337" s="2" t="s">
        <v>1210</v>
      </c>
    </row>
    <row r="338" spans="1:29" x14ac:dyDescent="0.3">
      <c r="A338" s="10">
        <v>337</v>
      </c>
      <c r="B338" s="2"/>
      <c r="C338" s="2">
        <v>1</v>
      </c>
      <c r="D338" s="10"/>
      <c r="E338" s="40">
        <v>42500</v>
      </c>
      <c r="F338" s="11">
        <f t="shared" si="91"/>
        <v>0</v>
      </c>
      <c r="G338" s="10"/>
      <c r="H338" s="11">
        <f t="shared" si="92"/>
        <v>0</v>
      </c>
      <c r="I338" s="67">
        <v>202</v>
      </c>
      <c r="J338" s="10" t="s">
        <v>449</v>
      </c>
      <c r="K338" s="10"/>
      <c r="L338" s="10"/>
      <c r="M338" s="10"/>
      <c r="N338" s="12" t="s">
        <v>1211</v>
      </c>
      <c r="O338" s="10"/>
      <c r="P338" s="58">
        <v>68000</v>
      </c>
      <c r="Q338" s="13">
        <f t="shared" si="81"/>
        <v>0.6</v>
      </c>
      <c r="R338" s="11">
        <f t="shared" si="82"/>
        <v>0</v>
      </c>
      <c r="S338" s="10"/>
      <c r="T338" s="58">
        <f>E338*1.8</f>
        <v>76500</v>
      </c>
      <c r="U338" s="13">
        <f t="shared" si="83"/>
        <v>0.8</v>
      </c>
      <c r="V338" s="11">
        <f t="shared" si="84"/>
        <v>0</v>
      </c>
      <c r="W338" s="10"/>
      <c r="X338" s="58">
        <f>E338*2.05</f>
        <v>87124.999999999985</v>
      </c>
      <c r="Y338" s="13">
        <f t="shared" si="85"/>
        <v>1.0499999999999996</v>
      </c>
      <c r="Z338" s="11">
        <f t="shared" si="86"/>
        <v>0</v>
      </c>
      <c r="AA338" s="10" t="s">
        <v>1212</v>
      </c>
      <c r="AB338" s="10" t="s">
        <v>1213</v>
      </c>
      <c r="AC338" s="2" t="s">
        <v>1214</v>
      </c>
    </row>
    <row r="339" spans="1:29" x14ac:dyDescent="0.3">
      <c r="A339" s="10">
        <v>338</v>
      </c>
      <c r="B339" s="2"/>
      <c r="C339" s="2">
        <v>1</v>
      </c>
      <c r="D339" s="10"/>
      <c r="E339" s="40">
        <v>29500</v>
      </c>
      <c r="F339" s="11">
        <f t="shared" si="91"/>
        <v>0</v>
      </c>
      <c r="G339" s="10"/>
      <c r="H339" s="11">
        <f t="shared" si="92"/>
        <v>0</v>
      </c>
      <c r="I339" s="66">
        <v>203</v>
      </c>
      <c r="J339" s="10" t="s">
        <v>449</v>
      </c>
      <c r="K339" s="10"/>
      <c r="L339" s="10"/>
      <c r="M339" s="10"/>
      <c r="N339" s="12" t="s">
        <v>1215</v>
      </c>
      <c r="O339" s="10"/>
      <c r="P339" s="58">
        <v>47200</v>
      </c>
      <c r="Q339" s="13">
        <f t="shared" si="81"/>
        <v>0.6</v>
      </c>
      <c r="R339" s="11">
        <f t="shared" si="82"/>
        <v>0</v>
      </c>
      <c r="S339" s="10"/>
      <c r="T339" s="58">
        <f>E339*1.8</f>
        <v>53100</v>
      </c>
      <c r="U339" s="13">
        <f t="shared" si="83"/>
        <v>0.8</v>
      </c>
      <c r="V339" s="11">
        <f t="shared" si="84"/>
        <v>0</v>
      </c>
      <c r="W339" s="10"/>
      <c r="X339" s="58">
        <f>E339*2.05</f>
        <v>60474.999999999993</v>
      </c>
      <c r="Y339" s="13">
        <f t="shared" si="85"/>
        <v>1.0499999999999998</v>
      </c>
      <c r="Z339" s="11">
        <f t="shared" si="86"/>
        <v>0</v>
      </c>
      <c r="AA339" s="10" t="s">
        <v>1216</v>
      </c>
      <c r="AB339" s="10" t="s">
        <v>1217</v>
      </c>
      <c r="AC339" s="2"/>
    </row>
    <row r="340" spans="1:29" x14ac:dyDescent="0.3">
      <c r="A340" s="10">
        <v>318</v>
      </c>
      <c r="B340" s="2"/>
      <c r="C340" s="2">
        <v>1</v>
      </c>
      <c r="D340" s="10"/>
      <c r="E340" s="40">
        <v>12900</v>
      </c>
      <c r="F340" s="11">
        <f t="shared" si="91"/>
        <v>0</v>
      </c>
      <c r="G340" s="10"/>
      <c r="H340" s="11">
        <f t="shared" si="92"/>
        <v>0</v>
      </c>
      <c r="I340" s="67">
        <v>204</v>
      </c>
      <c r="J340" s="10" t="s">
        <v>117</v>
      </c>
      <c r="K340" s="10"/>
      <c r="L340" s="10"/>
      <c r="M340" s="10"/>
      <c r="N340" s="12" t="s">
        <v>1224</v>
      </c>
      <c r="O340" s="10"/>
      <c r="P340" s="58">
        <v>20600</v>
      </c>
      <c r="Q340" s="13">
        <f t="shared" si="81"/>
        <v>0.5968992248062015</v>
      </c>
      <c r="R340" s="11">
        <f t="shared" si="82"/>
        <v>0</v>
      </c>
      <c r="S340" s="10"/>
      <c r="T340" s="58">
        <f>E340*1.8</f>
        <v>23220</v>
      </c>
      <c r="U340" s="13">
        <f t="shared" si="83"/>
        <v>0.8</v>
      </c>
      <c r="V340" s="11">
        <f t="shared" si="84"/>
        <v>0</v>
      </c>
      <c r="W340" s="10"/>
      <c r="X340" s="58">
        <f>E340*2.05</f>
        <v>26444.999999999996</v>
      </c>
      <c r="Y340" s="13">
        <f t="shared" si="85"/>
        <v>1.0499999999999998</v>
      </c>
      <c r="Z340" s="11">
        <f t="shared" si="86"/>
        <v>0</v>
      </c>
      <c r="AA340" s="10" t="s">
        <v>1225</v>
      </c>
      <c r="AB340" s="10" t="s">
        <v>1226</v>
      </c>
      <c r="AC340" s="2"/>
    </row>
    <row r="341" spans="1:29" x14ac:dyDescent="0.3">
      <c r="A341" s="5">
        <v>75</v>
      </c>
      <c r="B341" s="5">
        <v>15</v>
      </c>
      <c r="C341" s="5">
        <v>3</v>
      </c>
      <c r="D341" s="5">
        <v>1</v>
      </c>
      <c r="E341" s="41">
        <v>12900</v>
      </c>
      <c r="F341" s="29">
        <f t="shared" si="91"/>
        <v>12900</v>
      </c>
      <c r="G341" s="5"/>
      <c r="H341" s="29">
        <f t="shared" si="92"/>
        <v>0</v>
      </c>
      <c r="I341" s="66">
        <v>205</v>
      </c>
      <c r="J341" s="5" t="s">
        <v>508</v>
      </c>
      <c r="K341" s="5"/>
      <c r="L341" s="5"/>
      <c r="M341" s="5"/>
      <c r="N341" s="6" t="s">
        <v>1274</v>
      </c>
      <c r="O341" s="5">
        <v>1</v>
      </c>
      <c r="P341" s="59">
        <v>19500</v>
      </c>
      <c r="Q341" s="33">
        <f t="shared" si="81"/>
        <v>0.51162790697674421</v>
      </c>
      <c r="R341" s="32">
        <f t="shared" si="82"/>
        <v>19500</v>
      </c>
      <c r="S341" s="5"/>
      <c r="T341" s="41">
        <v>17500</v>
      </c>
      <c r="U341" s="33">
        <f t="shared" si="83"/>
        <v>0.35658914728682173</v>
      </c>
      <c r="V341" s="29">
        <f t="shared" si="84"/>
        <v>0</v>
      </c>
      <c r="W341" s="5"/>
      <c r="X341" s="41">
        <v>20000</v>
      </c>
      <c r="Y341" s="33">
        <f t="shared" si="85"/>
        <v>0.55038759689922478</v>
      </c>
      <c r="Z341" s="29">
        <f t="shared" si="86"/>
        <v>0</v>
      </c>
      <c r="AA341" s="5" t="s">
        <v>1275</v>
      </c>
      <c r="AB341" s="5" t="s">
        <v>1276</v>
      </c>
      <c r="AC341" s="5"/>
    </row>
    <row r="342" spans="1:29" x14ac:dyDescent="0.3">
      <c r="A342" s="10">
        <v>388</v>
      </c>
      <c r="B342" s="2"/>
      <c r="C342" s="2">
        <v>1</v>
      </c>
      <c r="D342" s="10"/>
      <c r="E342" s="40">
        <v>11500</v>
      </c>
      <c r="F342" s="11">
        <f t="shared" si="91"/>
        <v>0</v>
      </c>
      <c r="G342" s="10"/>
      <c r="H342" s="11">
        <f t="shared" si="92"/>
        <v>0</v>
      </c>
      <c r="I342" s="67">
        <v>206</v>
      </c>
      <c r="J342" s="10" t="s">
        <v>508</v>
      </c>
      <c r="K342" s="10"/>
      <c r="L342" s="10"/>
      <c r="M342" s="10"/>
      <c r="N342" s="12" t="s">
        <v>1227</v>
      </c>
      <c r="O342" s="10"/>
      <c r="P342" s="58">
        <v>18400</v>
      </c>
      <c r="Q342" s="13">
        <f t="shared" si="81"/>
        <v>0.6</v>
      </c>
      <c r="R342" s="11">
        <f t="shared" si="82"/>
        <v>0</v>
      </c>
      <c r="S342" s="10"/>
      <c r="T342" s="58">
        <f>E342*1.8</f>
        <v>20700</v>
      </c>
      <c r="U342" s="13">
        <f t="shared" si="83"/>
        <v>0.8</v>
      </c>
      <c r="V342" s="11">
        <f t="shared" si="84"/>
        <v>0</v>
      </c>
      <c r="W342" s="10"/>
      <c r="X342" s="58">
        <f>E342*2.05</f>
        <v>23574.999999999996</v>
      </c>
      <c r="Y342" s="13">
        <f t="shared" si="85"/>
        <v>1.0499999999999996</v>
      </c>
      <c r="Z342" s="11">
        <f t="shared" si="86"/>
        <v>0</v>
      </c>
      <c r="AA342" s="10" t="s">
        <v>1228</v>
      </c>
      <c r="AB342" s="10" t="s">
        <v>1229</v>
      </c>
      <c r="AC342" s="2" t="s">
        <v>1230</v>
      </c>
    </row>
    <row r="343" spans="1:29" x14ac:dyDescent="0.3">
      <c r="A343" s="5">
        <v>76</v>
      </c>
      <c r="B343" s="5">
        <v>109</v>
      </c>
      <c r="C343" s="5">
        <v>3</v>
      </c>
      <c r="D343" s="5">
        <v>2</v>
      </c>
      <c r="E343" s="41">
        <v>3200</v>
      </c>
      <c r="F343" s="29">
        <f t="shared" si="91"/>
        <v>6400</v>
      </c>
      <c r="G343" s="5"/>
      <c r="H343" s="29">
        <f t="shared" si="92"/>
        <v>0</v>
      </c>
      <c r="I343" s="66">
        <v>207</v>
      </c>
      <c r="J343" s="5" t="s">
        <v>508</v>
      </c>
      <c r="K343" s="5"/>
      <c r="L343" s="5"/>
      <c r="M343" s="5"/>
      <c r="N343" s="6" t="s">
        <v>1277</v>
      </c>
      <c r="O343" s="5">
        <v>2</v>
      </c>
      <c r="P343" s="59">
        <v>5000</v>
      </c>
      <c r="Q343" s="33">
        <f t="shared" si="81"/>
        <v>0.5625</v>
      </c>
      <c r="R343" s="29">
        <f t="shared" si="82"/>
        <v>10000</v>
      </c>
      <c r="S343" s="5"/>
      <c r="T343" s="41">
        <v>5600</v>
      </c>
      <c r="U343" s="33">
        <f t="shared" si="83"/>
        <v>0.75</v>
      </c>
      <c r="V343" s="29">
        <f t="shared" si="84"/>
        <v>0</v>
      </c>
      <c r="W343" s="5"/>
      <c r="X343" s="41">
        <v>6500</v>
      </c>
      <c r="Y343" s="33">
        <f t="shared" si="85"/>
        <v>1.03125</v>
      </c>
      <c r="Z343" s="29">
        <f t="shared" si="86"/>
        <v>0</v>
      </c>
      <c r="AA343" s="5" t="s">
        <v>1278</v>
      </c>
      <c r="AB343" s="5" t="s">
        <v>1279</v>
      </c>
      <c r="AC343" s="5" t="s">
        <v>1280</v>
      </c>
    </row>
    <row r="344" spans="1:29" x14ac:dyDescent="0.3">
      <c r="A344" s="10">
        <v>389</v>
      </c>
      <c r="B344" s="2"/>
      <c r="C344" s="2">
        <v>1</v>
      </c>
      <c r="D344" s="10"/>
      <c r="E344" s="40">
        <v>11500</v>
      </c>
      <c r="F344" s="11">
        <f t="shared" si="91"/>
        <v>0</v>
      </c>
      <c r="G344" s="10"/>
      <c r="H344" s="11">
        <f t="shared" si="92"/>
        <v>0</v>
      </c>
      <c r="I344" s="67">
        <v>208</v>
      </c>
      <c r="J344" s="10" t="s">
        <v>508</v>
      </c>
      <c r="K344" s="10"/>
      <c r="L344" s="10"/>
      <c r="M344" s="10"/>
      <c r="N344" s="12" t="s">
        <v>1231</v>
      </c>
      <c r="O344" s="10"/>
      <c r="P344" s="58">
        <v>18400</v>
      </c>
      <c r="Q344" s="13">
        <f t="shared" si="81"/>
        <v>0.6</v>
      </c>
      <c r="R344" s="11">
        <f t="shared" si="82"/>
        <v>0</v>
      </c>
      <c r="S344" s="10"/>
      <c r="T344" s="58">
        <f t="shared" ref="T344:T357" si="95">E344*1.8</f>
        <v>20700</v>
      </c>
      <c r="U344" s="13">
        <f t="shared" si="83"/>
        <v>0.8</v>
      </c>
      <c r="V344" s="11">
        <f t="shared" si="84"/>
        <v>0</v>
      </c>
      <c r="W344" s="10"/>
      <c r="X344" s="58">
        <f t="shared" ref="X344:X357" si="96">E344*2.05</f>
        <v>23574.999999999996</v>
      </c>
      <c r="Y344" s="13">
        <f t="shared" si="85"/>
        <v>1.0499999999999996</v>
      </c>
      <c r="Z344" s="11">
        <f t="shared" si="86"/>
        <v>0</v>
      </c>
      <c r="AA344" s="10" t="s">
        <v>1232</v>
      </c>
      <c r="AB344" s="10" t="s">
        <v>1233</v>
      </c>
      <c r="AC344" s="2"/>
    </row>
    <row r="345" spans="1:29" x14ac:dyDescent="0.3">
      <c r="A345" s="10">
        <v>390</v>
      </c>
      <c r="B345" s="2"/>
      <c r="C345" s="2">
        <v>1</v>
      </c>
      <c r="D345" s="10"/>
      <c r="E345" s="40">
        <v>10800</v>
      </c>
      <c r="F345" s="11">
        <f t="shared" si="91"/>
        <v>0</v>
      </c>
      <c r="G345" s="10"/>
      <c r="H345" s="11">
        <f t="shared" si="92"/>
        <v>0</v>
      </c>
      <c r="I345" s="66">
        <v>209</v>
      </c>
      <c r="J345" s="10" t="s">
        <v>508</v>
      </c>
      <c r="K345" s="10"/>
      <c r="L345" s="10"/>
      <c r="M345" s="10"/>
      <c r="N345" s="12" t="s">
        <v>1234</v>
      </c>
      <c r="O345" s="10"/>
      <c r="P345" s="58">
        <v>17200</v>
      </c>
      <c r="Q345" s="13">
        <f t="shared" si="81"/>
        <v>0.59259259259259256</v>
      </c>
      <c r="R345" s="11">
        <f t="shared" si="82"/>
        <v>0</v>
      </c>
      <c r="S345" s="10"/>
      <c r="T345" s="58">
        <f t="shared" si="95"/>
        <v>19440</v>
      </c>
      <c r="U345" s="13">
        <f t="shared" si="83"/>
        <v>0.8</v>
      </c>
      <c r="V345" s="11">
        <f t="shared" si="84"/>
        <v>0</v>
      </c>
      <c r="W345" s="10"/>
      <c r="X345" s="58">
        <f t="shared" si="96"/>
        <v>22139.999999999996</v>
      </c>
      <c r="Y345" s="13">
        <f t="shared" si="85"/>
        <v>1.0499999999999996</v>
      </c>
      <c r="Z345" s="11">
        <f t="shared" si="86"/>
        <v>0</v>
      </c>
      <c r="AA345" s="10" t="s">
        <v>1235</v>
      </c>
      <c r="AB345" s="10" t="s">
        <v>1236</v>
      </c>
      <c r="AC345" s="2"/>
    </row>
    <row r="346" spans="1:29" x14ac:dyDescent="0.3">
      <c r="A346" s="10">
        <v>391</v>
      </c>
      <c r="B346" s="2"/>
      <c r="C346" s="2">
        <v>1</v>
      </c>
      <c r="D346" s="10"/>
      <c r="E346" s="40">
        <v>11500</v>
      </c>
      <c r="F346" s="11">
        <f t="shared" si="91"/>
        <v>0</v>
      </c>
      <c r="G346" s="10"/>
      <c r="H346" s="11">
        <f t="shared" si="92"/>
        <v>0</v>
      </c>
      <c r="I346" s="67">
        <v>210</v>
      </c>
      <c r="J346" s="10" t="s">
        <v>508</v>
      </c>
      <c r="K346" s="10"/>
      <c r="L346" s="10"/>
      <c r="M346" s="10"/>
      <c r="N346" s="12" t="s">
        <v>1237</v>
      </c>
      <c r="O346" s="10"/>
      <c r="P346" s="58">
        <v>18400</v>
      </c>
      <c r="Q346" s="13">
        <f t="shared" si="81"/>
        <v>0.6</v>
      </c>
      <c r="R346" s="11">
        <f t="shared" si="82"/>
        <v>0</v>
      </c>
      <c r="S346" s="10"/>
      <c r="T346" s="58">
        <f t="shared" si="95"/>
        <v>20700</v>
      </c>
      <c r="U346" s="13">
        <f t="shared" si="83"/>
        <v>0.8</v>
      </c>
      <c r="V346" s="11">
        <f t="shared" si="84"/>
        <v>0</v>
      </c>
      <c r="W346" s="10"/>
      <c r="X346" s="58">
        <f t="shared" si="96"/>
        <v>23574.999999999996</v>
      </c>
      <c r="Y346" s="13">
        <f t="shared" si="85"/>
        <v>1.0499999999999996</v>
      </c>
      <c r="Z346" s="11">
        <f t="shared" si="86"/>
        <v>0</v>
      </c>
      <c r="AA346" s="10" t="s">
        <v>1238</v>
      </c>
      <c r="AB346" s="10" t="s">
        <v>1239</v>
      </c>
      <c r="AC346" s="2" t="s">
        <v>1240</v>
      </c>
    </row>
    <row r="347" spans="1:29" x14ac:dyDescent="0.3">
      <c r="A347" s="10">
        <v>392</v>
      </c>
      <c r="B347" s="2"/>
      <c r="C347" s="2">
        <v>1</v>
      </c>
      <c r="D347" s="10"/>
      <c r="E347" s="40">
        <v>6500</v>
      </c>
      <c r="F347" s="11">
        <f t="shared" si="91"/>
        <v>0</v>
      </c>
      <c r="G347" s="10"/>
      <c r="H347" s="11">
        <f t="shared" si="92"/>
        <v>0</v>
      </c>
      <c r="I347" s="66">
        <v>211</v>
      </c>
      <c r="J347" s="10" t="s">
        <v>508</v>
      </c>
      <c r="K347" s="10"/>
      <c r="L347" s="10"/>
      <c r="M347" s="10"/>
      <c r="N347" s="12" t="s">
        <v>1241</v>
      </c>
      <c r="O347" s="10"/>
      <c r="P347" s="58">
        <v>10400</v>
      </c>
      <c r="Q347" s="13">
        <f t="shared" si="81"/>
        <v>0.6</v>
      </c>
      <c r="R347" s="11">
        <f t="shared" si="82"/>
        <v>0</v>
      </c>
      <c r="S347" s="10"/>
      <c r="T347" s="58">
        <f t="shared" si="95"/>
        <v>11700</v>
      </c>
      <c r="U347" s="13">
        <f t="shared" si="83"/>
        <v>0.8</v>
      </c>
      <c r="V347" s="11">
        <f t="shared" si="84"/>
        <v>0</v>
      </c>
      <c r="W347" s="10"/>
      <c r="X347" s="58">
        <f t="shared" si="96"/>
        <v>13324.999999999998</v>
      </c>
      <c r="Y347" s="13">
        <f t="shared" si="85"/>
        <v>1.0499999999999998</v>
      </c>
      <c r="Z347" s="11">
        <f t="shared" si="86"/>
        <v>0</v>
      </c>
      <c r="AA347" s="10" t="s">
        <v>1242</v>
      </c>
      <c r="AB347" s="10" t="s">
        <v>1243</v>
      </c>
      <c r="AC347" s="2" t="s">
        <v>1244</v>
      </c>
    </row>
    <row r="348" spans="1:29" x14ac:dyDescent="0.3">
      <c r="A348" s="10">
        <v>393</v>
      </c>
      <c r="B348" s="2"/>
      <c r="C348" s="2">
        <v>1</v>
      </c>
      <c r="D348" s="10"/>
      <c r="E348" s="40">
        <v>22900</v>
      </c>
      <c r="F348" s="11">
        <f t="shared" si="91"/>
        <v>0</v>
      </c>
      <c r="G348" s="10"/>
      <c r="H348" s="11">
        <f t="shared" si="92"/>
        <v>0</v>
      </c>
      <c r="I348" s="67">
        <v>212</v>
      </c>
      <c r="J348" s="10" t="s">
        <v>508</v>
      </c>
      <c r="K348" s="10"/>
      <c r="L348" s="10"/>
      <c r="M348" s="10"/>
      <c r="N348" s="12" t="s">
        <v>1245</v>
      </c>
      <c r="O348" s="10"/>
      <c r="P348" s="58">
        <v>36600</v>
      </c>
      <c r="Q348" s="13">
        <f t="shared" si="81"/>
        <v>0.59825327510917026</v>
      </c>
      <c r="R348" s="11">
        <f t="shared" si="82"/>
        <v>0</v>
      </c>
      <c r="S348" s="10"/>
      <c r="T348" s="58">
        <f t="shared" si="95"/>
        <v>41220</v>
      </c>
      <c r="U348" s="13">
        <f t="shared" si="83"/>
        <v>0.8</v>
      </c>
      <c r="V348" s="11">
        <f t="shared" si="84"/>
        <v>0</v>
      </c>
      <c r="W348" s="10"/>
      <c r="X348" s="58">
        <f t="shared" si="96"/>
        <v>46944.999999999993</v>
      </c>
      <c r="Y348" s="13">
        <f t="shared" si="85"/>
        <v>1.0499999999999996</v>
      </c>
      <c r="Z348" s="11">
        <f t="shared" si="86"/>
        <v>0</v>
      </c>
      <c r="AA348" s="10" t="s">
        <v>1246</v>
      </c>
      <c r="AB348" s="10" t="s">
        <v>1247</v>
      </c>
      <c r="AC348" s="2" t="s">
        <v>1248</v>
      </c>
    </row>
    <row r="349" spans="1:29" x14ac:dyDescent="0.3">
      <c r="A349" s="10">
        <v>394</v>
      </c>
      <c r="B349" s="2"/>
      <c r="C349" s="2">
        <v>1</v>
      </c>
      <c r="D349" s="10"/>
      <c r="E349" s="40">
        <v>19900</v>
      </c>
      <c r="F349" s="11">
        <f t="shared" si="91"/>
        <v>0</v>
      </c>
      <c r="G349" s="10"/>
      <c r="H349" s="11">
        <f t="shared" si="92"/>
        <v>0</v>
      </c>
      <c r="I349" s="66">
        <v>213</v>
      </c>
      <c r="J349" s="10" t="s">
        <v>508</v>
      </c>
      <c r="K349" s="10"/>
      <c r="L349" s="10"/>
      <c r="M349" s="10"/>
      <c r="N349" s="12" t="s">
        <v>1249</v>
      </c>
      <c r="O349" s="10"/>
      <c r="P349" s="58">
        <v>31800</v>
      </c>
      <c r="Q349" s="13">
        <f t="shared" si="81"/>
        <v>0.59798994974874375</v>
      </c>
      <c r="R349" s="11">
        <f t="shared" si="82"/>
        <v>0</v>
      </c>
      <c r="S349" s="10"/>
      <c r="T349" s="58">
        <f t="shared" si="95"/>
        <v>35820</v>
      </c>
      <c r="U349" s="13">
        <f t="shared" si="83"/>
        <v>0.8</v>
      </c>
      <c r="V349" s="11">
        <f t="shared" si="84"/>
        <v>0</v>
      </c>
      <c r="W349" s="10"/>
      <c r="X349" s="58">
        <f t="shared" si="96"/>
        <v>40795</v>
      </c>
      <c r="Y349" s="13">
        <f t="shared" si="85"/>
        <v>1.05</v>
      </c>
      <c r="Z349" s="11">
        <f t="shared" si="86"/>
        <v>0</v>
      </c>
      <c r="AA349" s="10" t="s">
        <v>1250</v>
      </c>
      <c r="AB349" s="10" t="s">
        <v>1251</v>
      </c>
      <c r="AC349" s="2" t="s">
        <v>1252</v>
      </c>
    </row>
    <row r="350" spans="1:29" x14ac:dyDescent="0.3">
      <c r="A350" s="37">
        <v>570</v>
      </c>
      <c r="B350" s="37"/>
      <c r="C350" s="37">
        <v>5</v>
      </c>
      <c r="D350" s="37"/>
      <c r="E350" s="44">
        <v>1950</v>
      </c>
      <c r="F350" s="38">
        <f t="shared" si="91"/>
        <v>0</v>
      </c>
      <c r="G350" s="37"/>
      <c r="H350" s="38">
        <f t="shared" si="92"/>
        <v>0</v>
      </c>
      <c r="I350" s="67">
        <v>214</v>
      </c>
      <c r="J350" s="37" t="s">
        <v>508</v>
      </c>
      <c r="K350" s="37" t="s">
        <v>1960</v>
      </c>
      <c r="L350" s="37"/>
      <c r="M350" s="37"/>
      <c r="N350" s="36" t="s">
        <v>1281</v>
      </c>
      <c r="O350" s="37"/>
      <c r="P350" s="44">
        <v>3100</v>
      </c>
      <c r="Q350" s="45">
        <f t="shared" si="81"/>
        <v>0.58974358974358976</v>
      </c>
      <c r="R350" s="46">
        <f t="shared" si="82"/>
        <v>0</v>
      </c>
      <c r="S350" s="37"/>
      <c r="T350" s="44">
        <f t="shared" si="95"/>
        <v>3510</v>
      </c>
      <c r="U350" s="45">
        <f t="shared" si="83"/>
        <v>0.8</v>
      </c>
      <c r="V350" s="38">
        <f t="shared" si="84"/>
        <v>0</v>
      </c>
      <c r="W350" s="37"/>
      <c r="X350" s="44">
        <f t="shared" si="96"/>
        <v>3997.4999999999995</v>
      </c>
      <c r="Y350" s="45">
        <f t="shared" si="85"/>
        <v>1.0499999999999998</v>
      </c>
      <c r="Z350" s="38">
        <f t="shared" si="86"/>
        <v>0</v>
      </c>
      <c r="AA350" s="37" t="s">
        <v>1282</v>
      </c>
      <c r="AB350" s="37" t="s">
        <v>1283</v>
      </c>
      <c r="AC350" s="37"/>
    </row>
    <row r="351" spans="1:29" x14ac:dyDescent="0.3">
      <c r="A351" s="10">
        <v>395</v>
      </c>
      <c r="B351" s="2"/>
      <c r="C351" s="2">
        <v>1</v>
      </c>
      <c r="D351" s="10"/>
      <c r="E351" s="40">
        <v>1200</v>
      </c>
      <c r="F351" s="11">
        <f t="shared" si="91"/>
        <v>0</v>
      </c>
      <c r="G351" s="10"/>
      <c r="H351" s="11">
        <f t="shared" si="92"/>
        <v>0</v>
      </c>
      <c r="I351" s="66">
        <v>215</v>
      </c>
      <c r="J351" s="10" t="s">
        <v>508</v>
      </c>
      <c r="K351" s="10"/>
      <c r="L351" s="10"/>
      <c r="M351" s="10"/>
      <c r="N351" s="12" t="s">
        <v>1253</v>
      </c>
      <c r="O351" s="10"/>
      <c r="P351" s="58">
        <v>1900</v>
      </c>
      <c r="Q351" s="13">
        <f t="shared" si="81"/>
        <v>0.58333333333333337</v>
      </c>
      <c r="R351" s="11">
        <f t="shared" si="82"/>
        <v>0</v>
      </c>
      <c r="S351" s="10"/>
      <c r="T351" s="58">
        <f t="shared" si="95"/>
        <v>2160</v>
      </c>
      <c r="U351" s="13">
        <f t="shared" si="83"/>
        <v>0.8</v>
      </c>
      <c r="V351" s="11">
        <f t="shared" si="84"/>
        <v>0</v>
      </c>
      <c r="W351" s="10"/>
      <c r="X351" s="58">
        <f t="shared" si="96"/>
        <v>2460</v>
      </c>
      <c r="Y351" s="13">
        <f t="shared" si="85"/>
        <v>1.05</v>
      </c>
      <c r="Z351" s="11">
        <f t="shared" si="86"/>
        <v>0</v>
      </c>
      <c r="AA351" s="10" t="s">
        <v>1254</v>
      </c>
      <c r="AB351" s="10" t="s">
        <v>1255</v>
      </c>
      <c r="AC351" s="2"/>
    </row>
    <row r="352" spans="1:29" x14ac:dyDescent="0.3">
      <c r="A352" s="10">
        <v>396</v>
      </c>
      <c r="B352" s="2"/>
      <c r="C352" s="2">
        <v>1</v>
      </c>
      <c r="D352" s="10"/>
      <c r="E352" s="40">
        <v>1500</v>
      </c>
      <c r="F352" s="11">
        <f t="shared" si="91"/>
        <v>0</v>
      </c>
      <c r="G352" s="10"/>
      <c r="H352" s="11">
        <f t="shared" si="92"/>
        <v>0</v>
      </c>
      <c r="I352" s="67">
        <v>216</v>
      </c>
      <c r="J352" s="10" t="s">
        <v>508</v>
      </c>
      <c r="K352" s="10"/>
      <c r="L352" s="10"/>
      <c r="M352" s="10"/>
      <c r="N352" s="12" t="s">
        <v>1256</v>
      </c>
      <c r="O352" s="10"/>
      <c r="P352" s="58">
        <v>2400</v>
      </c>
      <c r="Q352" s="13">
        <f t="shared" si="81"/>
        <v>0.6</v>
      </c>
      <c r="R352" s="11">
        <f t="shared" si="82"/>
        <v>0</v>
      </c>
      <c r="S352" s="10"/>
      <c r="T352" s="58">
        <f t="shared" si="95"/>
        <v>2700</v>
      </c>
      <c r="U352" s="13">
        <f t="shared" si="83"/>
        <v>0.8</v>
      </c>
      <c r="V352" s="11">
        <f t="shared" si="84"/>
        <v>0</v>
      </c>
      <c r="W352" s="10"/>
      <c r="X352" s="58">
        <f t="shared" si="96"/>
        <v>3074.9999999999995</v>
      </c>
      <c r="Y352" s="13">
        <f t="shared" si="85"/>
        <v>1.0499999999999996</v>
      </c>
      <c r="Z352" s="11">
        <f t="shared" si="86"/>
        <v>0</v>
      </c>
      <c r="AA352" s="10" t="s">
        <v>1257</v>
      </c>
      <c r="AB352" s="10" t="s">
        <v>1258</v>
      </c>
      <c r="AC352" s="2"/>
    </row>
    <row r="353" spans="1:29" x14ac:dyDescent="0.3">
      <c r="A353" s="10">
        <v>397</v>
      </c>
      <c r="B353" s="2"/>
      <c r="C353" s="2">
        <v>1</v>
      </c>
      <c r="D353" s="10"/>
      <c r="E353" s="40">
        <v>1900</v>
      </c>
      <c r="F353" s="11">
        <f t="shared" si="91"/>
        <v>0</v>
      </c>
      <c r="G353" s="10"/>
      <c r="H353" s="11">
        <f t="shared" si="92"/>
        <v>0</v>
      </c>
      <c r="I353" s="66">
        <v>217</v>
      </c>
      <c r="J353" s="10" t="s">
        <v>508</v>
      </c>
      <c r="K353" s="10"/>
      <c r="L353" s="10"/>
      <c r="M353" s="10"/>
      <c r="N353" s="12" t="s">
        <v>1259</v>
      </c>
      <c r="O353" s="10"/>
      <c r="P353" s="58">
        <v>3000</v>
      </c>
      <c r="Q353" s="13">
        <f t="shared" si="81"/>
        <v>0.57894736842105265</v>
      </c>
      <c r="R353" s="11">
        <f t="shared" si="82"/>
        <v>0</v>
      </c>
      <c r="S353" s="10"/>
      <c r="T353" s="58">
        <f t="shared" si="95"/>
        <v>3420</v>
      </c>
      <c r="U353" s="13">
        <f t="shared" si="83"/>
        <v>0.8</v>
      </c>
      <c r="V353" s="11">
        <f t="shared" si="84"/>
        <v>0</v>
      </c>
      <c r="W353" s="10"/>
      <c r="X353" s="58">
        <f t="shared" si="96"/>
        <v>3894.9999999999995</v>
      </c>
      <c r="Y353" s="13">
        <f t="shared" si="85"/>
        <v>1.0499999999999998</v>
      </c>
      <c r="Z353" s="11">
        <f t="shared" si="86"/>
        <v>0</v>
      </c>
      <c r="AA353" s="10" t="s">
        <v>1260</v>
      </c>
      <c r="AB353" s="10" t="s">
        <v>1261</v>
      </c>
      <c r="AC353" s="2"/>
    </row>
    <row r="354" spans="1:29" x14ac:dyDescent="0.3">
      <c r="A354" s="10">
        <v>398</v>
      </c>
      <c r="B354" s="2"/>
      <c r="C354" s="2">
        <v>1</v>
      </c>
      <c r="D354" s="10"/>
      <c r="E354" s="40">
        <v>1200</v>
      </c>
      <c r="F354" s="11">
        <f t="shared" si="91"/>
        <v>0</v>
      </c>
      <c r="G354" s="10"/>
      <c r="H354" s="11">
        <f t="shared" si="92"/>
        <v>0</v>
      </c>
      <c r="I354" s="67">
        <v>218</v>
      </c>
      <c r="J354" s="10" t="s">
        <v>508</v>
      </c>
      <c r="K354" s="10"/>
      <c r="L354" s="10"/>
      <c r="M354" s="10"/>
      <c r="N354" s="12" t="s">
        <v>1262</v>
      </c>
      <c r="O354" s="10"/>
      <c r="P354" s="58">
        <v>1900</v>
      </c>
      <c r="Q354" s="13">
        <f t="shared" ref="Q354:Q417" si="97">(P354-E354)/E354</f>
        <v>0.58333333333333337</v>
      </c>
      <c r="R354" s="11">
        <f t="shared" ref="R354:R417" si="98">O354*P354</f>
        <v>0</v>
      </c>
      <c r="S354" s="10"/>
      <c r="T354" s="58">
        <f t="shared" si="95"/>
        <v>2160</v>
      </c>
      <c r="U354" s="13">
        <f t="shared" ref="U354:U417" si="99">(T354-E354)/E354</f>
        <v>0.8</v>
      </c>
      <c r="V354" s="11">
        <f t="shared" ref="V354:V417" si="100">S354*T354</f>
        <v>0</v>
      </c>
      <c r="W354" s="10"/>
      <c r="X354" s="58">
        <f t="shared" si="96"/>
        <v>2460</v>
      </c>
      <c r="Y354" s="13">
        <f t="shared" ref="Y354:Y417" si="101">(X354-E354)/E354</f>
        <v>1.05</v>
      </c>
      <c r="Z354" s="11">
        <f t="shared" ref="Z354:Z417" si="102">W354*X354</f>
        <v>0</v>
      </c>
      <c r="AA354" s="10" t="s">
        <v>1263</v>
      </c>
      <c r="AB354" s="10" t="s">
        <v>1264</v>
      </c>
      <c r="AC354" s="2"/>
    </row>
    <row r="355" spans="1:29" x14ac:dyDescent="0.3">
      <c r="A355" s="10">
        <v>399</v>
      </c>
      <c r="B355" s="2"/>
      <c r="C355" s="2">
        <v>1</v>
      </c>
      <c r="D355" s="10"/>
      <c r="E355" s="40">
        <v>1500</v>
      </c>
      <c r="F355" s="11">
        <f t="shared" si="91"/>
        <v>0</v>
      </c>
      <c r="G355" s="10"/>
      <c r="H355" s="11">
        <f t="shared" si="92"/>
        <v>0</v>
      </c>
      <c r="I355" s="66">
        <v>219</v>
      </c>
      <c r="J355" s="10" t="s">
        <v>508</v>
      </c>
      <c r="K355" s="10"/>
      <c r="L355" s="10"/>
      <c r="M355" s="10"/>
      <c r="N355" s="12" t="s">
        <v>1265</v>
      </c>
      <c r="O355" s="10"/>
      <c r="P355" s="58">
        <v>2400</v>
      </c>
      <c r="Q355" s="13">
        <f t="shared" si="97"/>
        <v>0.6</v>
      </c>
      <c r="R355" s="11">
        <f t="shared" si="98"/>
        <v>0</v>
      </c>
      <c r="S355" s="10"/>
      <c r="T355" s="58">
        <f t="shared" si="95"/>
        <v>2700</v>
      </c>
      <c r="U355" s="13">
        <f t="shared" si="99"/>
        <v>0.8</v>
      </c>
      <c r="V355" s="11">
        <f t="shared" si="100"/>
        <v>0</v>
      </c>
      <c r="W355" s="10"/>
      <c r="X355" s="58">
        <f t="shared" si="96"/>
        <v>3074.9999999999995</v>
      </c>
      <c r="Y355" s="13">
        <f t="shared" si="101"/>
        <v>1.0499999999999996</v>
      </c>
      <c r="Z355" s="11">
        <f t="shared" si="102"/>
        <v>0</v>
      </c>
      <c r="AA355" s="10" t="s">
        <v>1266</v>
      </c>
      <c r="AB355" s="10" t="s">
        <v>1267</v>
      </c>
      <c r="AC355" s="2"/>
    </row>
    <row r="356" spans="1:29" x14ac:dyDescent="0.3">
      <c r="A356" s="10">
        <v>400</v>
      </c>
      <c r="B356" s="2"/>
      <c r="C356" s="2">
        <v>1</v>
      </c>
      <c r="D356" s="10"/>
      <c r="E356" s="40">
        <v>1050</v>
      </c>
      <c r="F356" s="11">
        <f t="shared" si="91"/>
        <v>0</v>
      </c>
      <c r="G356" s="10"/>
      <c r="H356" s="11">
        <f t="shared" si="92"/>
        <v>0</v>
      </c>
      <c r="I356" s="67">
        <v>220</v>
      </c>
      <c r="J356" s="10" t="s">
        <v>508</v>
      </c>
      <c r="K356" s="10"/>
      <c r="L356" s="10"/>
      <c r="M356" s="10"/>
      <c r="N356" s="12" t="s">
        <v>1268</v>
      </c>
      <c r="O356" s="10"/>
      <c r="P356" s="58">
        <v>1600</v>
      </c>
      <c r="Q356" s="13">
        <f t="shared" si="97"/>
        <v>0.52380952380952384</v>
      </c>
      <c r="R356" s="11">
        <f t="shared" si="98"/>
        <v>0</v>
      </c>
      <c r="S356" s="10"/>
      <c r="T356" s="58">
        <f t="shared" si="95"/>
        <v>1890</v>
      </c>
      <c r="U356" s="13">
        <f t="shared" si="99"/>
        <v>0.8</v>
      </c>
      <c r="V356" s="11">
        <f t="shared" si="100"/>
        <v>0</v>
      </c>
      <c r="W356" s="10"/>
      <c r="X356" s="58">
        <f t="shared" si="96"/>
        <v>2152.5</v>
      </c>
      <c r="Y356" s="13">
        <f t="shared" si="101"/>
        <v>1.05</v>
      </c>
      <c r="Z356" s="11">
        <f t="shared" si="102"/>
        <v>0</v>
      </c>
      <c r="AA356" s="10" t="s">
        <v>1269</v>
      </c>
      <c r="AB356" s="10" t="s">
        <v>1270</v>
      </c>
      <c r="AC356" s="2"/>
    </row>
    <row r="357" spans="1:29" x14ac:dyDescent="0.3">
      <c r="A357" s="10">
        <v>401</v>
      </c>
      <c r="B357" s="2"/>
      <c r="C357" s="2">
        <v>1</v>
      </c>
      <c r="D357" s="10"/>
      <c r="E357" s="40">
        <v>1900</v>
      </c>
      <c r="F357" s="11">
        <f t="shared" si="91"/>
        <v>0</v>
      </c>
      <c r="G357" s="10"/>
      <c r="H357" s="11">
        <f t="shared" si="92"/>
        <v>0</v>
      </c>
      <c r="I357" s="66">
        <v>221</v>
      </c>
      <c r="J357" s="10" t="s">
        <v>508</v>
      </c>
      <c r="K357" s="10"/>
      <c r="L357" s="10"/>
      <c r="M357" s="10"/>
      <c r="N357" s="12" t="s">
        <v>1271</v>
      </c>
      <c r="O357" s="10"/>
      <c r="P357" s="58">
        <v>3000</v>
      </c>
      <c r="Q357" s="13">
        <f t="shared" si="97"/>
        <v>0.57894736842105265</v>
      </c>
      <c r="R357" s="11">
        <f t="shared" si="98"/>
        <v>0</v>
      </c>
      <c r="S357" s="10"/>
      <c r="T357" s="58">
        <f t="shared" si="95"/>
        <v>3420</v>
      </c>
      <c r="U357" s="13">
        <f t="shared" si="99"/>
        <v>0.8</v>
      </c>
      <c r="V357" s="11">
        <f t="shared" si="100"/>
        <v>0</v>
      </c>
      <c r="W357" s="10"/>
      <c r="X357" s="58">
        <f t="shared" si="96"/>
        <v>3894.9999999999995</v>
      </c>
      <c r="Y357" s="13">
        <f t="shared" si="101"/>
        <v>1.0499999999999998</v>
      </c>
      <c r="Z357" s="11">
        <f t="shared" si="102"/>
        <v>0</v>
      </c>
      <c r="AA357" s="10" t="s">
        <v>1272</v>
      </c>
      <c r="AB357" s="10" t="s">
        <v>1273</v>
      </c>
      <c r="AC357" s="2"/>
    </row>
    <row r="358" spans="1:29" x14ac:dyDescent="0.3">
      <c r="A358" s="49">
        <v>3</v>
      </c>
      <c r="B358" s="49">
        <v>53</v>
      </c>
      <c r="C358" s="49">
        <v>4</v>
      </c>
      <c r="D358" s="49">
        <v>6</v>
      </c>
      <c r="E358" s="50">
        <v>4900</v>
      </c>
      <c r="F358" s="51">
        <f t="shared" si="91"/>
        <v>29400</v>
      </c>
      <c r="G358" s="49"/>
      <c r="H358" s="51">
        <f t="shared" si="92"/>
        <v>0</v>
      </c>
      <c r="I358" s="67">
        <v>222</v>
      </c>
      <c r="J358" s="51" t="s">
        <v>117</v>
      </c>
      <c r="K358" s="51"/>
      <c r="L358" s="51" t="s">
        <v>517</v>
      </c>
      <c r="M358" s="51" t="s">
        <v>518</v>
      </c>
      <c r="N358" s="52" t="s">
        <v>1284</v>
      </c>
      <c r="O358" s="49">
        <v>6</v>
      </c>
      <c r="P358" s="71">
        <v>7000</v>
      </c>
      <c r="Q358" s="53">
        <f t="shared" si="97"/>
        <v>0.42857142857142855</v>
      </c>
      <c r="R358" s="54">
        <f t="shared" si="98"/>
        <v>42000</v>
      </c>
      <c r="S358" s="49"/>
      <c r="T358" s="50">
        <v>8500</v>
      </c>
      <c r="U358" s="53">
        <f t="shared" si="99"/>
        <v>0.73469387755102045</v>
      </c>
      <c r="V358" s="51">
        <f t="shared" si="100"/>
        <v>0</v>
      </c>
      <c r="W358" s="49"/>
      <c r="X358" s="50">
        <v>10000</v>
      </c>
      <c r="Y358" s="53">
        <f t="shared" si="101"/>
        <v>1.0408163265306123</v>
      </c>
      <c r="Z358" s="51">
        <f t="shared" si="102"/>
        <v>0</v>
      </c>
      <c r="AA358" s="49" t="s">
        <v>1285</v>
      </c>
      <c r="AB358" s="49"/>
      <c r="AC358" s="49"/>
    </row>
    <row r="359" spans="1:29" x14ac:dyDescent="0.3">
      <c r="A359" s="10">
        <v>84</v>
      </c>
      <c r="B359" s="2"/>
      <c r="C359" s="2">
        <v>1</v>
      </c>
      <c r="D359" s="10"/>
      <c r="E359" s="40">
        <v>21499</v>
      </c>
      <c r="F359" s="11">
        <f t="shared" si="91"/>
        <v>0</v>
      </c>
      <c r="G359" s="10"/>
      <c r="H359" s="11">
        <f t="shared" si="92"/>
        <v>0</v>
      </c>
      <c r="I359" s="66">
        <v>223</v>
      </c>
      <c r="J359" s="10" t="s">
        <v>117</v>
      </c>
      <c r="K359" s="10"/>
      <c r="L359" s="10"/>
      <c r="M359" s="10"/>
      <c r="N359" s="12" t="s">
        <v>1286</v>
      </c>
      <c r="O359" s="10"/>
      <c r="P359" s="58">
        <v>34300</v>
      </c>
      <c r="Q359" s="13">
        <f t="shared" si="97"/>
        <v>0.59542304293222936</v>
      </c>
      <c r="R359" s="11">
        <f t="shared" si="98"/>
        <v>0</v>
      </c>
      <c r="S359" s="10"/>
      <c r="T359" s="58">
        <f t="shared" ref="T359:T365" si="103">E359*1.8</f>
        <v>38698.200000000004</v>
      </c>
      <c r="U359" s="13">
        <f t="shared" si="99"/>
        <v>0.80000000000000016</v>
      </c>
      <c r="V359" s="11">
        <f t="shared" si="100"/>
        <v>0</v>
      </c>
      <c r="W359" s="10"/>
      <c r="X359" s="58">
        <f t="shared" ref="X359:X365" si="104">E359*2.05</f>
        <v>44072.95</v>
      </c>
      <c r="Y359" s="13">
        <f t="shared" si="101"/>
        <v>1.0499999999999998</v>
      </c>
      <c r="Z359" s="11">
        <f t="shared" si="102"/>
        <v>0</v>
      </c>
      <c r="AA359" s="10" t="s">
        <v>1287</v>
      </c>
      <c r="AB359" s="10" t="s">
        <v>1288</v>
      </c>
      <c r="AC359" s="2" t="s">
        <v>1289</v>
      </c>
    </row>
    <row r="360" spans="1:29" x14ac:dyDescent="0.3">
      <c r="A360" s="10">
        <v>81</v>
      </c>
      <c r="B360" s="2"/>
      <c r="C360" s="2">
        <v>1</v>
      </c>
      <c r="D360" s="10"/>
      <c r="E360" s="40">
        <v>22500</v>
      </c>
      <c r="F360" s="11">
        <f t="shared" si="91"/>
        <v>0</v>
      </c>
      <c r="G360" s="10"/>
      <c r="H360" s="11">
        <f t="shared" si="92"/>
        <v>0</v>
      </c>
      <c r="I360" s="67">
        <v>224</v>
      </c>
      <c r="J360" s="10" t="s">
        <v>117</v>
      </c>
      <c r="K360" s="10"/>
      <c r="L360" s="10"/>
      <c r="M360" s="10"/>
      <c r="N360" s="12" t="s">
        <v>1290</v>
      </c>
      <c r="O360" s="10"/>
      <c r="P360" s="58">
        <v>36000</v>
      </c>
      <c r="Q360" s="13">
        <f t="shared" si="97"/>
        <v>0.6</v>
      </c>
      <c r="R360" s="11">
        <f t="shared" si="98"/>
        <v>0</v>
      </c>
      <c r="S360" s="10"/>
      <c r="T360" s="58">
        <f t="shared" si="103"/>
        <v>40500</v>
      </c>
      <c r="U360" s="13">
        <f t="shared" si="99"/>
        <v>0.8</v>
      </c>
      <c r="V360" s="11">
        <f t="shared" si="100"/>
        <v>0</v>
      </c>
      <c r="W360" s="10"/>
      <c r="X360" s="58">
        <f t="shared" si="104"/>
        <v>46124.999999999993</v>
      </c>
      <c r="Y360" s="13">
        <f t="shared" si="101"/>
        <v>1.0499999999999996</v>
      </c>
      <c r="Z360" s="11">
        <f t="shared" si="102"/>
        <v>0</v>
      </c>
      <c r="AA360" s="10" t="s">
        <v>1291</v>
      </c>
      <c r="AB360" s="10" t="s">
        <v>1292</v>
      </c>
      <c r="AC360" s="2"/>
    </row>
    <row r="361" spans="1:29" x14ac:dyDescent="0.3">
      <c r="A361" s="10">
        <v>77</v>
      </c>
      <c r="B361" s="2"/>
      <c r="C361" s="2">
        <v>1</v>
      </c>
      <c r="D361" s="10"/>
      <c r="E361" s="40">
        <v>15000</v>
      </c>
      <c r="F361" s="11">
        <f t="shared" si="91"/>
        <v>0</v>
      </c>
      <c r="G361" s="10"/>
      <c r="H361" s="11">
        <f t="shared" si="92"/>
        <v>0</v>
      </c>
      <c r="I361" s="66">
        <v>225</v>
      </c>
      <c r="J361" s="10" t="s">
        <v>19</v>
      </c>
      <c r="K361" s="10"/>
      <c r="L361" s="10"/>
      <c r="M361" s="10"/>
      <c r="N361" s="12" t="s">
        <v>1293</v>
      </c>
      <c r="O361" s="10"/>
      <c r="P361" s="58">
        <v>24000</v>
      </c>
      <c r="Q361" s="13">
        <f t="shared" si="97"/>
        <v>0.6</v>
      </c>
      <c r="R361" s="11">
        <f t="shared" si="98"/>
        <v>0</v>
      </c>
      <c r="S361" s="10"/>
      <c r="T361" s="58">
        <f t="shared" si="103"/>
        <v>27000</v>
      </c>
      <c r="U361" s="13">
        <f t="shared" si="99"/>
        <v>0.8</v>
      </c>
      <c r="V361" s="11">
        <f t="shared" si="100"/>
        <v>0</v>
      </c>
      <c r="W361" s="10"/>
      <c r="X361" s="58">
        <f t="shared" si="104"/>
        <v>30749.999999999996</v>
      </c>
      <c r="Y361" s="13">
        <f t="shared" si="101"/>
        <v>1.0499999999999998</v>
      </c>
      <c r="Z361" s="11">
        <f t="shared" si="102"/>
        <v>0</v>
      </c>
      <c r="AA361" s="10" t="s">
        <v>1294</v>
      </c>
      <c r="AB361" s="10" t="s">
        <v>1295</v>
      </c>
      <c r="AC361" s="2"/>
    </row>
    <row r="362" spans="1:29" x14ac:dyDescent="0.3">
      <c r="A362" s="10">
        <v>78</v>
      </c>
      <c r="B362" s="2"/>
      <c r="C362" s="2">
        <v>1</v>
      </c>
      <c r="D362" s="10"/>
      <c r="E362" s="40">
        <v>12800</v>
      </c>
      <c r="F362" s="11">
        <f t="shared" si="91"/>
        <v>0</v>
      </c>
      <c r="G362" s="10"/>
      <c r="H362" s="11">
        <f t="shared" si="92"/>
        <v>0</v>
      </c>
      <c r="I362" s="67">
        <v>226</v>
      </c>
      <c r="J362" s="10" t="s">
        <v>19</v>
      </c>
      <c r="K362" s="10"/>
      <c r="L362" s="10"/>
      <c r="M362" s="10"/>
      <c r="N362" s="12" t="s">
        <v>1296</v>
      </c>
      <c r="O362" s="10"/>
      <c r="P362" s="58">
        <v>20400</v>
      </c>
      <c r="Q362" s="13">
        <f t="shared" si="97"/>
        <v>0.59375</v>
      </c>
      <c r="R362" s="11">
        <f t="shared" si="98"/>
        <v>0</v>
      </c>
      <c r="S362" s="10"/>
      <c r="T362" s="58">
        <f t="shared" si="103"/>
        <v>23040</v>
      </c>
      <c r="U362" s="13">
        <f t="shared" si="99"/>
        <v>0.8</v>
      </c>
      <c r="V362" s="11">
        <f t="shared" si="100"/>
        <v>0</v>
      </c>
      <c r="W362" s="10"/>
      <c r="X362" s="58">
        <f t="shared" si="104"/>
        <v>26239.999999999996</v>
      </c>
      <c r="Y362" s="13">
        <f t="shared" si="101"/>
        <v>1.0499999999999998</v>
      </c>
      <c r="Z362" s="11">
        <f t="shared" si="102"/>
        <v>0</v>
      </c>
      <c r="AA362" s="10" t="s">
        <v>1297</v>
      </c>
      <c r="AB362" s="10" t="s">
        <v>1298</v>
      </c>
      <c r="AC362" s="2"/>
    </row>
    <row r="363" spans="1:29" x14ac:dyDescent="0.3">
      <c r="A363" s="10">
        <v>96</v>
      </c>
      <c r="B363" s="2"/>
      <c r="C363" s="2">
        <v>1</v>
      </c>
      <c r="D363" s="10"/>
      <c r="E363" s="40">
        <v>21000</v>
      </c>
      <c r="F363" s="11">
        <f t="shared" si="91"/>
        <v>0</v>
      </c>
      <c r="G363" s="10"/>
      <c r="H363" s="11">
        <f t="shared" si="92"/>
        <v>0</v>
      </c>
      <c r="I363" s="66">
        <v>227</v>
      </c>
      <c r="J363" s="10" t="s">
        <v>142</v>
      </c>
      <c r="K363" s="10"/>
      <c r="L363" s="10"/>
      <c r="M363" s="10"/>
      <c r="N363" s="12" t="s">
        <v>1301</v>
      </c>
      <c r="O363" s="10"/>
      <c r="P363" s="58">
        <v>33600</v>
      </c>
      <c r="Q363" s="13">
        <f t="shared" si="97"/>
        <v>0.6</v>
      </c>
      <c r="R363" s="11">
        <f t="shared" si="98"/>
        <v>0</v>
      </c>
      <c r="S363" s="10"/>
      <c r="T363" s="58">
        <f t="shared" si="103"/>
        <v>37800</v>
      </c>
      <c r="U363" s="13">
        <f t="shared" si="99"/>
        <v>0.8</v>
      </c>
      <c r="V363" s="11">
        <f t="shared" si="100"/>
        <v>0</v>
      </c>
      <c r="W363" s="10"/>
      <c r="X363" s="58">
        <f t="shared" si="104"/>
        <v>43049.999999999993</v>
      </c>
      <c r="Y363" s="13">
        <f t="shared" si="101"/>
        <v>1.0499999999999996</v>
      </c>
      <c r="Z363" s="11">
        <f t="shared" si="102"/>
        <v>0</v>
      </c>
      <c r="AA363" s="10" t="s">
        <v>1302</v>
      </c>
      <c r="AB363" s="10" t="s">
        <v>1303</v>
      </c>
      <c r="AC363" s="2" t="s">
        <v>1304</v>
      </c>
    </row>
    <row r="364" spans="1:29" x14ac:dyDescent="0.3">
      <c r="A364" s="10">
        <v>97</v>
      </c>
      <c r="B364" s="2"/>
      <c r="C364" s="2">
        <v>1</v>
      </c>
      <c r="D364" s="10"/>
      <c r="E364" s="40">
        <v>22000</v>
      </c>
      <c r="F364" s="11">
        <f t="shared" si="91"/>
        <v>0</v>
      </c>
      <c r="G364" s="10"/>
      <c r="H364" s="11">
        <f t="shared" si="92"/>
        <v>0</v>
      </c>
      <c r="I364" s="67">
        <v>228</v>
      </c>
      <c r="J364" s="10" t="s">
        <v>142</v>
      </c>
      <c r="K364" s="10"/>
      <c r="L364" s="10"/>
      <c r="M364" s="10"/>
      <c r="N364" s="12" t="s">
        <v>1305</v>
      </c>
      <c r="O364" s="10"/>
      <c r="P364" s="58">
        <v>35200</v>
      </c>
      <c r="Q364" s="13">
        <f t="shared" si="97"/>
        <v>0.6</v>
      </c>
      <c r="R364" s="11">
        <f t="shared" si="98"/>
        <v>0</v>
      </c>
      <c r="S364" s="10"/>
      <c r="T364" s="58">
        <f t="shared" si="103"/>
        <v>39600</v>
      </c>
      <c r="U364" s="13">
        <f t="shared" si="99"/>
        <v>0.8</v>
      </c>
      <c r="V364" s="11">
        <f t="shared" si="100"/>
        <v>0</v>
      </c>
      <c r="W364" s="10"/>
      <c r="X364" s="58">
        <f t="shared" si="104"/>
        <v>45099.999999999993</v>
      </c>
      <c r="Y364" s="13">
        <f t="shared" si="101"/>
        <v>1.0499999999999996</v>
      </c>
      <c r="Z364" s="11">
        <f t="shared" si="102"/>
        <v>0</v>
      </c>
      <c r="AA364" s="10" t="s">
        <v>1306</v>
      </c>
      <c r="AB364" s="10" t="s">
        <v>1307</v>
      </c>
      <c r="AC364" s="2" t="s">
        <v>1308</v>
      </c>
    </row>
    <row r="365" spans="1:29" x14ac:dyDescent="0.3">
      <c r="A365" s="10">
        <v>98</v>
      </c>
      <c r="B365" s="2"/>
      <c r="C365" s="2">
        <v>1</v>
      </c>
      <c r="D365" s="10"/>
      <c r="E365" s="40">
        <v>20500</v>
      </c>
      <c r="F365" s="11">
        <f t="shared" si="91"/>
        <v>0</v>
      </c>
      <c r="G365" s="10"/>
      <c r="H365" s="11">
        <f t="shared" si="92"/>
        <v>0</v>
      </c>
      <c r="I365" s="66">
        <v>229</v>
      </c>
      <c r="J365" s="10" t="s">
        <v>142</v>
      </c>
      <c r="K365" s="10"/>
      <c r="L365" s="10"/>
      <c r="M365" s="10"/>
      <c r="N365" s="12" t="s">
        <v>1309</v>
      </c>
      <c r="O365" s="10"/>
      <c r="P365" s="58">
        <v>32800</v>
      </c>
      <c r="Q365" s="13">
        <f t="shared" si="97"/>
        <v>0.6</v>
      </c>
      <c r="R365" s="11">
        <f t="shared" si="98"/>
        <v>0</v>
      </c>
      <c r="S365" s="10"/>
      <c r="T365" s="58">
        <f t="shared" si="103"/>
        <v>36900</v>
      </c>
      <c r="U365" s="13">
        <f t="shared" si="99"/>
        <v>0.8</v>
      </c>
      <c r="V365" s="11">
        <f t="shared" si="100"/>
        <v>0</v>
      </c>
      <c r="W365" s="10"/>
      <c r="X365" s="58">
        <f t="shared" si="104"/>
        <v>42024.999999999993</v>
      </c>
      <c r="Y365" s="13">
        <f t="shared" si="101"/>
        <v>1.0499999999999996</v>
      </c>
      <c r="Z365" s="11">
        <f t="shared" si="102"/>
        <v>0</v>
      </c>
      <c r="AA365" s="10" t="s">
        <v>1310</v>
      </c>
      <c r="AB365" s="10" t="s">
        <v>1311</v>
      </c>
      <c r="AC365" s="2" t="s">
        <v>1312</v>
      </c>
    </row>
    <row r="366" spans="1:29" x14ac:dyDescent="0.3">
      <c r="A366" s="49">
        <v>15</v>
      </c>
      <c r="B366" s="49">
        <v>49</v>
      </c>
      <c r="C366" s="49">
        <v>4</v>
      </c>
      <c r="D366" s="49">
        <v>3</v>
      </c>
      <c r="E366" s="50">
        <v>13700</v>
      </c>
      <c r="F366" s="51">
        <f t="shared" si="91"/>
        <v>41100</v>
      </c>
      <c r="G366" s="49"/>
      <c r="H366" s="51">
        <f t="shared" si="92"/>
        <v>0</v>
      </c>
      <c r="I366" s="67">
        <v>230</v>
      </c>
      <c r="J366" s="51" t="s">
        <v>142</v>
      </c>
      <c r="K366" s="51"/>
      <c r="L366" s="51" t="s">
        <v>517</v>
      </c>
      <c r="M366" s="51" t="s">
        <v>518</v>
      </c>
      <c r="N366" s="52" t="s">
        <v>1299</v>
      </c>
      <c r="O366" s="49">
        <v>3</v>
      </c>
      <c r="P366" s="71">
        <v>20000</v>
      </c>
      <c r="Q366" s="53">
        <f t="shared" si="97"/>
        <v>0.45985401459854014</v>
      </c>
      <c r="R366" s="54">
        <f t="shared" si="98"/>
        <v>60000</v>
      </c>
      <c r="S366" s="49"/>
      <c r="T366" s="50">
        <v>23500</v>
      </c>
      <c r="U366" s="53">
        <f t="shared" si="99"/>
        <v>0.71532846715328469</v>
      </c>
      <c r="V366" s="51">
        <f t="shared" si="100"/>
        <v>0</v>
      </c>
      <c r="W366" s="49"/>
      <c r="X366" s="50">
        <v>27000</v>
      </c>
      <c r="Y366" s="53">
        <f t="shared" si="101"/>
        <v>0.97080291970802923</v>
      </c>
      <c r="Z366" s="51">
        <f t="shared" si="102"/>
        <v>0</v>
      </c>
      <c r="AA366" s="49" t="s">
        <v>1300</v>
      </c>
      <c r="AB366" s="49"/>
      <c r="AC366" s="49"/>
    </row>
    <row r="367" spans="1:29" x14ac:dyDescent="0.3">
      <c r="A367" s="10">
        <v>99</v>
      </c>
      <c r="B367" s="2"/>
      <c r="C367" s="2">
        <v>1</v>
      </c>
      <c r="D367" s="10"/>
      <c r="E367" s="40">
        <v>12500</v>
      </c>
      <c r="F367" s="11">
        <f t="shared" si="91"/>
        <v>0</v>
      </c>
      <c r="G367" s="10"/>
      <c r="H367" s="11">
        <f t="shared" si="92"/>
        <v>0</v>
      </c>
      <c r="I367" s="66">
        <v>231</v>
      </c>
      <c r="J367" s="10" t="s">
        <v>142</v>
      </c>
      <c r="K367" s="10"/>
      <c r="L367" s="10"/>
      <c r="M367" s="10"/>
      <c r="N367" s="12" t="s">
        <v>1313</v>
      </c>
      <c r="O367" s="10"/>
      <c r="P367" s="58">
        <v>20000</v>
      </c>
      <c r="Q367" s="13">
        <f t="shared" si="97"/>
        <v>0.6</v>
      </c>
      <c r="R367" s="11">
        <f t="shared" si="98"/>
        <v>0</v>
      </c>
      <c r="S367" s="10"/>
      <c r="T367" s="58">
        <f t="shared" ref="T367:T374" si="105">E367*1.8</f>
        <v>22500</v>
      </c>
      <c r="U367" s="13">
        <f t="shared" si="99"/>
        <v>0.8</v>
      </c>
      <c r="V367" s="11">
        <f t="shared" si="100"/>
        <v>0</v>
      </c>
      <c r="W367" s="10"/>
      <c r="X367" s="58">
        <f t="shared" ref="X367:X374" si="106">E367*2.05</f>
        <v>25624.999999999996</v>
      </c>
      <c r="Y367" s="13">
        <f t="shared" si="101"/>
        <v>1.0499999999999996</v>
      </c>
      <c r="Z367" s="11">
        <f t="shared" si="102"/>
        <v>0</v>
      </c>
      <c r="AA367" s="10" t="s">
        <v>1314</v>
      </c>
      <c r="AB367" s="10" t="s">
        <v>1315</v>
      </c>
      <c r="AC367" s="2"/>
    </row>
    <row r="368" spans="1:29" x14ac:dyDescent="0.3">
      <c r="A368" s="10">
        <v>100</v>
      </c>
      <c r="B368" s="2"/>
      <c r="C368" s="2">
        <v>1</v>
      </c>
      <c r="D368" s="10"/>
      <c r="E368" s="40">
        <v>16800</v>
      </c>
      <c r="F368" s="11">
        <f t="shared" si="91"/>
        <v>0</v>
      </c>
      <c r="G368" s="10"/>
      <c r="H368" s="11">
        <f t="shared" si="92"/>
        <v>0</v>
      </c>
      <c r="I368" s="67">
        <v>232</v>
      </c>
      <c r="J368" s="10" t="s">
        <v>142</v>
      </c>
      <c r="K368" s="10"/>
      <c r="L368" s="10"/>
      <c r="M368" s="10"/>
      <c r="N368" s="12" t="s">
        <v>1316</v>
      </c>
      <c r="O368" s="10"/>
      <c r="P368" s="58">
        <v>26800</v>
      </c>
      <c r="Q368" s="13">
        <f t="shared" si="97"/>
        <v>0.59523809523809523</v>
      </c>
      <c r="R368" s="11">
        <f t="shared" si="98"/>
        <v>0</v>
      </c>
      <c r="S368" s="10"/>
      <c r="T368" s="58">
        <f t="shared" si="105"/>
        <v>30240</v>
      </c>
      <c r="U368" s="13">
        <f t="shared" si="99"/>
        <v>0.8</v>
      </c>
      <c r="V368" s="11">
        <f t="shared" si="100"/>
        <v>0</v>
      </c>
      <c r="W368" s="10"/>
      <c r="X368" s="58">
        <f t="shared" si="106"/>
        <v>34440</v>
      </c>
      <c r="Y368" s="13">
        <f t="shared" si="101"/>
        <v>1.05</v>
      </c>
      <c r="Z368" s="11">
        <f t="shared" si="102"/>
        <v>0</v>
      </c>
      <c r="AA368" s="10" t="s">
        <v>1317</v>
      </c>
      <c r="AB368" s="10" t="s">
        <v>1318</v>
      </c>
      <c r="AC368" s="2" t="s">
        <v>1319</v>
      </c>
    </row>
    <row r="369" spans="1:29" x14ac:dyDescent="0.3">
      <c r="A369" s="10">
        <v>101</v>
      </c>
      <c r="B369" s="2"/>
      <c r="C369" s="2">
        <v>1</v>
      </c>
      <c r="D369" s="10"/>
      <c r="E369" s="40">
        <v>16800</v>
      </c>
      <c r="F369" s="11">
        <f t="shared" si="91"/>
        <v>0</v>
      </c>
      <c r="G369" s="10"/>
      <c r="H369" s="11">
        <f t="shared" si="92"/>
        <v>0</v>
      </c>
      <c r="I369" s="66">
        <v>233</v>
      </c>
      <c r="J369" s="10" t="s">
        <v>142</v>
      </c>
      <c r="K369" s="10"/>
      <c r="L369" s="10"/>
      <c r="M369" s="10"/>
      <c r="N369" s="12" t="s">
        <v>1320</v>
      </c>
      <c r="O369" s="10"/>
      <c r="P369" s="58">
        <v>26800</v>
      </c>
      <c r="Q369" s="13">
        <f t="shared" si="97"/>
        <v>0.59523809523809523</v>
      </c>
      <c r="R369" s="11">
        <f t="shared" si="98"/>
        <v>0</v>
      </c>
      <c r="S369" s="10"/>
      <c r="T369" s="58">
        <f t="shared" si="105"/>
        <v>30240</v>
      </c>
      <c r="U369" s="13">
        <f t="shared" si="99"/>
        <v>0.8</v>
      </c>
      <c r="V369" s="11">
        <f t="shared" si="100"/>
        <v>0</v>
      </c>
      <c r="W369" s="10"/>
      <c r="X369" s="58">
        <f t="shared" si="106"/>
        <v>34440</v>
      </c>
      <c r="Y369" s="13">
        <f t="shared" si="101"/>
        <v>1.05</v>
      </c>
      <c r="Z369" s="11">
        <f t="shared" si="102"/>
        <v>0</v>
      </c>
      <c r="AA369" s="10" t="s">
        <v>1321</v>
      </c>
      <c r="AB369" s="10" t="s">
        <v>1322</v>
      </c>
      <c r="AC369" s="2" t="s">
        <v>1323</v>
      </c>
    </row>
    <row r="370" spans="1:29" x14ac:dyDescent="0.3">
      <c r="A370" s="10">
        <v>102</v>
      </c>
      <c r="B370" s="2"/>
      <c r="C370" s="2">
        <v>1</v>
      </c>
      <c r="D370" s="10"/>
      <c r="E370" s="40">
        <v>3850</v>
      </c>
      <c r="F370" s="11">
        <f t="shared" si="91"/>
        <v>0</v>
      </c>
      <c r="G370" s="10"/>
      <c r="H370" s="11">
        <f t="shared" si="92"/>
        <v>0</v>
      </c>
      <c r="I370" s="67">
        <v>234</v>
      </c>
      <c r="J370" s="10" t="s">
        <v>142</v>
      </c>
      <c r="K370" s="10"/>
      <c r="L370" s="10"/>
      <c r="M370" s="10"/>
      <c r="N370" s="12" t="s">
        <v>1324</v>
      </c>
      <c r="O370" s="10"/>
      <c r="P370" s="58">
        <v>6100</v>
      </c>
      <c r="Q370" s="13">
        <f t="shared" si="97"/>
        <v>0.58441558441558439</v>
      </c>
      <c r="R370" s="11">
        <f t="shared" si="98"/>
        <v>0</v>
      </c>
      <c r="S370" s="10"/>
      <c r="T370" s="58">
        <f t="shared" si="105"/>
        <v>6930</v>
      </c>
      <c r="U370" s="13">
        <f t="shared" si="99"/>
        <v>0.8</v>
      </c>
      <c r="V370" s="11">
        <f t="shared" si="100"/>
        <v>0</v>
      </c>
      <c r="W370" s="10"/>
      <c r="X370" s="58">
        <f t="shared" si="106"/>
        <v>7892.4999999999991</v>
      </c>
      <c r="Y370" s="13">
        <f t="shared" si="101"/>
        <v>1.0499999999999998</v>
      </c>
      <c r="Z370" s="11">
        <f t="shared" si="102"/>
        <v>0</v>
      </c>
      <c r="AA370" s="10" t="s">
        <v>1325</v>
      </c>
      <c r="AB370" s="10" t="s">
        <v>1326</v>
      </c>
      <c r="AC370" s="2"/>
    </row>
    <row r="371" spans="1:29" x14ac:dyDescent="0.3">
      <c r="A371" s="10">
        <v>103</v>
      </c>
      <c r="B371" s="2"/>
      <c r="C371" s="2">
        <v>1</v>
      </c>
      <c r="D371" s="10"/>
      <c r="E371" s="40">
        <v>19488</v>
      </c>
      <c r="F371" s="11">
        <f t="shared" si="91"/>
        <v>0</v>
      </c>
      <c r="G371" s="10"/>
      <c r="H371" s="11">
        <f t="shared" si="92"/>
        <v>0</v>
      </c>
      <c r="I371" s="66">
        <v>235</v>
      </c>
      <c r="J371" s="10" t="s">
        <v>142</v>
      </c>
      <c r="K371" s="10"/>
      <c r="L371" s="10"/>
      <c r="M371" s="10"/>
      <c r="N371" s="12" t="s">
        <v>1327</v>
      </c>
      <c r="O371" s="10"/>
      <c r="P371" s="58">
        <v>31100</v>
      </c>
      <c r="Q371" s="13">
        <f t="shared" si="97"/>
        <v>0.59585385878489328</v>
      </c>
      <c r="R371" s="11">
        <f t="shared" si="98"/>
        <v>0</v>
      </c>
      <c r="S371" s="10"/>
      <c r="T371" s="58">
        <f t="shared" si="105"/>
        <v>35078.400000000001</v>
      </c>
      <c r="U371" s="13">
        <f t="shared" si="99"/>
        <v>0.8</v>
      </c>
      <c r="V371" s="11">
        <f t="shared" si="100"/>
        <v>0</v>
      </c>
      <c r="W371" s="10"/>
      <c r="X371" s="58">
        <f t="shared" si="106"/>
        <v>39950.399999999994</v>
      </c>
      <c r="Y371" s="13">
        <f t="shared" si="101"/>
        <v>1.0499999999999996</v>
      </c>
      <c r="Z371" s="11">
        <f t="shared" si="102"/>
        <v>0</v>
      </c>
      <c r="AA371" s="10" t="s">
        <v>1328</v>
      </c>
      <c r="AB371" s="10" t="s">
        <v>1329</v>
      </c>
      <c r="AC371" s="2" t="s">
        <v>1330</v>
      </c>
    </row>
    <row r="372" spans="1:29" x14ac:dyDescent="0.3">
      <c r="A372" s="10">
        <v>104</v>
      </c>
      <c r="B372" s="2"/>
      <c r="C372" s="2">
        <v>1</v>
      </c>
      <c r="D372" s="10"/>
      <c r="E372" s="40">
        <v>24986</v>
      </c>
      <c r="F372" s="11">
        <f t="shared" si="91"/>
        <v>0</v>
      </c>
      <c r="G372" s="10"/>
      <c r="H372" s="11">
        <f t="shared" si="92"/>
        <v>0</v>
      </c>
      <c r="I372" s="67">
        <v>236</v>
      </c>
      <c r="J372" s="10" t="s">
        <v>142</v>
      </c>
      <c r="K372" s="10"/>
      <c r="L372" s="10"/>
      <c r="M372" s="10"/>
      <c r="N372" s="12" t="s">
        <v>1331</v>
      </c>
      <c r="O372" s="10"/>
      <c r="P372" s="58">
        <v>39900</v>
      </c>
      <c r="Q372" s="13">
        <f t="shared" si="97"/>
        <v>0.59689426078604013</v>
      </c>
      <c r="R372" s="11">
        <f t="shared" si="98"/>
        <v>0</v>
      </c>
      <c r="S372" s="10"/>
      <c r="T372" s="58">
        <f t="shared" si="105"/>
        <v>44974.8</v>
      </c>
      <c r="U372" s="13">
        <f t="shared" si="99"/>
        <v>0.80000000000000016</v>
      </c>
      <c r="V372" s="11">
        <f t="shared" si="100"/>
        <v>0</v>
      </c>
      <c r="W372" s="10"/>
      <c r="X372" s="58">
        <f t="shared" si="106"/>
        <v>51221.299999999996</v>
      </c>
      <c r="Y372" s="13">
        <f t="shared" si="101"/>
        <v>1.0499999999999998</v>
      </c>
      <c r="Z372" s="11">
        <f t="shared" si="102"/>
        <v>0</v>
      </c>
      <c r="AA372" s="10" t="s">
        <v>1332</v>
      </c>
      <c r="AB372" s="10" t="s">
        <v>1333</v>
      </c>
      <c r="AC372" s="2" t="s">
        <v>1334</v>
      </c>
    </row>
    <row r="373" spans="1:29" x14ac:dyDescent="0.3">
      <c r="A373" s="10">
        <v>105</v>
      </c>
      <c r="B373" s="2"/>
      <c r="C373" s="2">
        <v>1</v>
      </c>
      <c r="D373" s="10"/>
      <c r="E373" s="40">
        <v>9300</v>
      </c>
      <c r="F373" s="11">
        <f t="shared" si="91"/>
        <v>0</v>
      </c>
      <c r="G373" s="10"/>
      <c r="H373" s="11">
        <f t="shared" si="92"/>
        <v>0</v>
      </c>
      <c r="I373" s="66">
        <v>237</v>
      </c>
      <c r="J373" s="10" t="s">
        <v>142</v>
      </c>
      <c r="K373" s="10"/>
      <c r="L373" s="10"/>
      <c r="M373" s="10"/>
      <c r="N373" s="12" t="s">
        <v>1335</v>
      </c>
      <c r="O373" s="10"/>
      <c r="P373" s="58">
        <v>14800</v>
      </c>
      <c r="Q373" s="13">
        <f t="shared" si="97"/>
        <v>0.59139784946236562</v>
      </c>
      <c r="R373" s="11">
        <f t="shared" si="98"/>
        <v>0</v>
      </c>
      <c r="S373" s="10"/>
      <c r="T373" s="58">
        <f t="shared" si="105"/>
        <v>16740</v>
      </c>
      <c r="U373" s="13">
        <f t="shared" si="99"/>
        <v>0.8</v>
      </c>
      <c r="V373" s="11">
        <f t="shared" si="100"/>
        <v>0</v>
      </c>
      <c r="W373" s="10"/>
      <c r="X373" s="58">
        <f t="shared" si="106"/>
        <v>19065</v>
      </c>
      <c r="Y373" s="13">
        <f t="shared" si="101"/>
        <v>1.05</v>
      </c>
      <c r="Z373" s="11">
        <f t="shared" si="102"/>
        <v>0</v>
      </c>
      <c r="AA373" s="10" t="s">
        <v>1336</v>
      </c>
      <c r="AB373" s="10" t="s">
        <v>1337</v>
      </c>
      <c r="AC373" s="2" t="s">
        <v>1338</v>
      </c>
    </row>
    <row r="374" spans="1:29" x14ac:dyDescent="0.3">
      <c r="A374" s="10">
        <v>106</v>
      </c>
      <c r="B374" s="2"/>
      <c r="C374" s="2">
        <v>1</v>
      </c>
      <c r="D374" s="10"/>
      <c r="E374" s="40">
        <v>3800</v>
      </c>
      <c r="F374" s="11">
        <f t="shared" si="91"/>
        <v>0</v>
      </c>
      <c r="G374" s="10"/>
      <c r="H374" s="11">
        <f t="shared" si="92"/>
        <v>0</v>
      </c>
      <c r="I374" s="67">
        <v>238</v>
      </c>
      <c r="J374" s="10" t="s">
        <v>142</v>
      </c>
      <c r="K374" s="10"/>
      <c r="L374" s="10"/>
      <c r="M374" s="10"/>
      <c r="N374" s="12" t="s">
        <v>1339</v>
      </c>
      <c r="O374" s="10"/>
      <c r="P374" s="58">
        <v>6000</v>
      </c>
      <c r="Q374" s="13">
        <f t="shared" si="97"/>
        <v>0.57894736842105265</v>
      </c>
      <c r="R374" s="11">
        <f t="shared" si="98"/>
        <v>0</v>
      </c>
      <c r="S374" s="10"/>
      <c r="T374" s="58">
        <f t="shared" si="105"/>
        <v>6840</v>
      </c>
      <c r="U374" s="13">
        <f t="shared" si="99"/>
        <v>0.8</v>
      </c>
      <c r="V374" s="11">
        <f t="shared" si="100"/>
        <v>0</v>
      </c>
      <c r="W374" s="10"/>
      <c r="X374" s="58">
        <f t="shared" si="106"/>
        <v>7789.9999999999991</v>
      </c>
      <c r="Y374" s="13">
        <f t="shared" si="101"/>
        <v>1.0499999999999998</v>
      </c>
      <c r="Z374" s="11">
        <f t="shared" si="102"/>
        <v>0</v>
      </c>
      <c r="AA374" s="10" t="s">
        <v>1340</v>
      </c>
      <c r="AB374" s="10" t="s">
        <v>1341</v>
      </c>
      <c r="AC374" s="2" t="s">
        <v>1342</v>
      </c>
    </row>
    <row r="375" spans="1:29" x14ac:dyDescent="0.3">
      <c r="A375" s="5">
        <v>11</v>
      </c>
      <c r="B375" s="5">
        <v>98</v>
      </c>
      <c r="C375" s="5">
        <v>3</v>
      </c>
      <c r="D375" s="5">
        <v>3</v>
      </c>
      <c r="E375" s="41">
        <v>3990</v>
      </c>
      <c r="F375" s="29">
        <f t="shared" si="91"/>
        <v>11970</v>
      </c>
      <c r="G375" s="5"/>
      <c r="H375" s="29">
        <f t="shared" si="92"/>
        <v>0</v>
      </c>
      <c r="I375" s="66">
        <v>239</v>
      </c>
      <c r="J375" s="5" t="s">
        <v>142</v>
      </c>
      <c r="K375" s="5"/>
      <c r="L375" s="5"/>
      <c r="M375" s="5"/>
      <c r="N375" s="6" t="s">
        <v>1426</v>
      </c>
      <c r="O375" s="5">
        <v>3</v>
      </c>
      <c r="P375" s="59">
        <v>6800</v>
      </c>
      <c r="Q375" s="33">
        <f t="shared" si="97"/>
        <v>0.7042606516290727</v>
      </c>
      <c r="R375" s="29">
        <f t="shared" si="98"/>
        <v>20400</v>
      </c>
      <c r="S375" s="5"/>
      <c r="T375" s="41">
        <v>7800</v>
      </c>
      <c r="U375" s="33">
        <f t="shared" si="99"/>
        <v>0.95488721804511278</v>
      </c>
      <c r="V375" s="29">
        <f t="shared" si="100"/>
        <v>0</v>
      </c>
      <c r="W375" s="5"/>
      <c r="X375" s="41">
        <v>9000</v>
      </c>
      <c r="Y375" s="33">
        <f t="shared" si="101"/>
        <v>1.255639097744361</v>
      </c>
      <c r="Z375" s="29">
        <f t="shared" si="102"/>
        <v>0</v>
      </c>
      <c r="AA375" s="5" t="s">
        <v>1427</v>
      </c>
      <c r="AB375" s="5" t="s">
        <v>1428</v>
      </c>
      <c r="AC375" s="5" t="s">
        <v>1429</v>
      </c>
    </row>
    <row r="376" spans="1:29" x14ac:dyDescent="0.3">
      <c r="A376" s="10">
        <v>107</v>
      </c>
      <c r="B376" s="2"/>
      <c r="C376" s="2">
        <v>1</v>
      </c>
      <c r="D376" s="10"/>
      <c r="E376" s="40">
        <v>15500</v>
      </c>
      <c r="F376" s="11">
        <f t="shared" si="91"/>
        <v>0</v>
      </c>
      <c r="G376" s="10"/>
      <c r="H376" s="11">
        <f t="shared" si="92"/>
        <v>0</v>
      </c>
      <c r="I376" s="67">
        <v>240</v>
      </c>
      <c r="J376" s="10" t="s">
        <v>142</v>
      </c>
      <c r="K376" s="10"/>
      <c r="L376" s="10"/>
      <c r="M376" s="10"/>
      <c r="N376" s="12" t="s">
        <v>1343</v>
      </c>
      <c r="O376" s="10"/>
      <c r="P376" s="58">
        <v>24800</v>
      </c>
      <c r="Q376" s="13">
        <f t="shared" si="97"/>
        <v>0.6</v>
      </c>
      <c r="R376" s="11">
        <f t="shared" si="98"/>
        <v>0</v>
      </c>
      <c r="S376" s="10"/>
      <c r="T376" s="58">
        <f t="shared" ref="T376:T389" si="107">E376*1.8</f>
        <v>27900</v>
      </c>
      <c r="U376" s="13">
        <f t="shared" si="99"/>
        <v>0.8</v>
      </c>
      <c r="V376" s="11">
        <f t="shared" si="100"/>
        <v>0</v>
      </c>
      <c r="W376" s="10"/>
      <c r="X376" s="58">
        <f t="shared" ref="X376:X389" si="108">E376*2.05</f>
        <v>31774.999999999996</v>
      </c>
      <c r="Y376" s="13">
        <f t="shared" si="101"/>
        <v>1.0499999999999998</v>
      </c>
      <c r="Z376" s="11">
        <f t="shared" si="102"/>
        <v>0</v>
      </c>
      <c r="AA376" s="10" t="s">
        <v>1344</v>
      </c>
      <c r="AB376" s="10" t="s">
        <v>1345</v>
      </c>
      <c r="AC376" s="2" t="s">
        <v>1346</v>
      </c>
    </row>
    <row r="377" spans="1:29" x14ac:dyDescent="0.3">
      <c r="A377" s="10">
        <v>108</v>
      </c>
      <c r="B377" s="2"/>
      <c r="C377" s="2">
        <v>1</v>
      </c>
      <c r="D377" s="10"/>
      <c r="E377" s="40">
        <v>17000</v>
      </c>
      <c r="F377" s="11">
        <f t="shared" si="91"/>
        <v>0</v>
      </c>
      <c r="G377" s="10"/>
      <c r="H377" s="11">
        <f t="shared" si="92"/>
        <v>0</v>
      </c>
      <c r="I377" s="66">
        <v>241</v>
      </c>
      <c r="J377" s="10" t="s">
        <v>142</v>
      </c>
      <c r="K377" s="10"/>
      <c r="L377" s="10"/>
      <c r="M377" s="10"/>
      <c r="N377" s="12" t="s">
        <v>1347</v>
      </c>
      <c r="O377" s="10"/>
      <c r="P377" s="58">
        <v>27200</v>
      </c>
      <c r="Q377" s="13">
        <f t="shared" si="97"/>
        <v>0.6</v>
      </c>
      <c r="R377" s="11">
        <f t="shared" si="98"/>
        <v>0</v>
      </c>
      <c r="S377" s="10"/>
      <c r="T377" s="58">
        <f t="shared" si="107"/>
        <v>30600</v>
      </c>
      <c r="U377" s="13">
        <f t="shared" si="99"/>
        <v>0.8</v>
      </c>
      <c r="V377" s="11">
        <f t="shared" si="100"/>
        <v>0</v>
      </c>
      <c r="W377" s="10"/>
      <c r="X377" s="58">
        <f t="shared" si="108"/>
        <v>34850</v>
      </c>
      <c r="Y377" s="13">
        <f t="shared" si="101"/>
        <v>1.05</v>
      </c>
      <c r="Z377" s="11">
        <f t="shared" si="102"/>
        <v>0</v>
      </c>
      <c r="AA377" s="10" t="s">
        <v>1348</v>
      </c>
      <c r="AB377" s="10" t="s">
        <v>1349</v>
      </c>
      <c r="AC377" s="2"/>
    </row>
    <row r="378" spans="1:29" x14ac:dyDescent="0.3">
      <c r="A378" s="10">
        <v>109</v>
      </c>
      <c r="B378" s="2"/>
      <c r="C378" s="2">
        <v>1</v>
      </c>
      <c r="D378" s="10"/>
      <c r="E378" s="40">
        <v>17500</v>
      </c>
      <c r="F378" s="11">
        <f t="shared" si="91"/>
        <v>0</v>
      </c>
      <c r="G378" s="10"/>
      <c r="H378" s="11">
        <f t="shared" si="92"/>
        <v>0</v>
      </c>
      <c r="I378" s="67">
        <v>242</v>
      </c>
      <c r="J378" s="10" t="s">
        <v>142</v>
      </c>
      <c r="K378" s="10"/>
      <c r="L378" s="10"/>
      <c r="M378" s="10"/>
      <c r="N378" s="12" t="s">
        <v>1350</v>
      </c>
      <c r="O378" s="10"/>
      <c r="P378" s="58">
        <v>28000</v>
      </c>
      <c r="Q378" s="13">
        <f t="shared" si="97"/>
        <v>0.6</v>
      </c>
      <c r="R378" s="11">
        <f t="shared" si="98"/>
        <v>0</v>
      </c>
      <c r="S378" s="10"/>
      <c r="T378" s="58">
        <f t="shared" si="107"/>
        <v>31500</v>
      </c>
      <c r="U378" s="13">
        <f t="shared" si="99"/>
        <v>0.8</v>
      </c>
      <c r="V378" s="11">
        <f t="shared" si="100"/>
        <v>0</v>
      </c>
      <c r="W378" s="10"/>
      <c r="X378" s="58">
        <f t="shared" si="108"/>
        <v>35875</v>
      </c>
      <c r="Y378" s="13">
        <f t="shared" si="101"/>
        <v>1.05</v>
      </c>
      <c r="Z378" s="11">
        <f t="shared" si="102"/>
        <v>0</v>
      </c>
      <c r="AA378" s="10" t="s">
        <v>1351</v>
      </c>
      <c r="AB378" s="10" t="s">
        <v>1352</v>
      </c>
      <c r="AC378" s="2" t="s">
        <v>1353</v>
      </c>
    </row>
    <row r="379" spans="1:29" x14ac:dyDescent="0.3">
      <c r="A379" s="10">
        <v>110</v>
      </c>
      <c r="B379" s="2"/>
      <c r="C379" s="2">
        <v>1</v>
      </c>
      <c r="D379" s="10"/>
      <c r="E379" s="40">
        <v>5000</v>
      </c>
      <c r="F379" s="11">
        <f t="shared" si="91"/>
        <v>0</v>
      </c>
      <c r="G379" s="10"/>
      <c r="H379" s="11">
        <f t="shared" si="92"/>
        <v>0</v>
      </c>
      <c r="I379" s="66">
        <v>243</v>
      </c>
      <c r="J379" s="10" t="s">
        <v>142</v>
      </c>
      <c r="K379" s="10"/>
      <c r="L379" s="10"/>
      <c r="M379" s="10"/>
      <c r="N379" s="12" t="s">
        <v>1354</v>
      </c>
      <c r="O379" s="10"/>
      <c r="P379" s="58">
        <v>8000</v>
      </c>
      <c r="Q379" s="13">
        <f t="shared" si="97"/>
        <v>0.6</v>
      </c>
      <c r="R379" s="11">
        <f t="shared" si="98"/>
        <v>0</v>
      </c>
      <c r="S379" s="10"/>
      <c r="T379" s="58">
        <f t="shared" si="107"/>
        <v>9000</v>
      </c>
      <c r="U379" s="13">
        <f t="shared" si="99"/>
        <v>0.8</v>
      </c>
      <c r="V379" s="11">
        <f t="shared" si="100"/>
        <v>0</v>
      </c>
      <c r="W379" s="10"/>
      <c r="X379" s="58">
        <f t="shared" si="108"/>
        <v>10250</v>
      </c>
      <c r="Y379" s="13">
        <f t="shared" si="101"/>
        <v>1.05</v>
      </c>
      <c r="Z379" s="11">
        <f t="shared" si="102"/>
        <v>0</v>
      </c>
      <c r="AA379" s="10" t="s">
        <v>1355</v>
      </c>
      <c r="AB379" s="10" t="s">
        <v>1356</v>
      </c>
      <c r="AC379" s="2"/>
    </row>
    <row r="380" spans="1:29" x14ac:dyDescent="0.3">
      <c r="A380" s="10">
        <v>111</v>
      </c>
      <c r="B380" s="2"/>
      <c r="C380" s="2">
        <v>1</v>
      </c>
      <c r="D380" s="10"/>
      <c r="E380" s="40">
        <v>37984</v>
      </c>
      <c r="F380" s="11">
        <f t="shared" si="91"/>
        <v>0</v>
      </c>
      <c r="G380" s="10"/>
      <c r="H380" s="11">
        <f t="shared" si="92"/>
        <v>0</v>
      </c>
      <c r="I380" s="67">
        <v>244</v>
      </c>
      <c r="J380" s="10" t="s">
        <v>142</v>
      </c>
      <c r="K380" s="10"/>
      <c r="L380" s="10"/>
      <c r="M380" s="10"/>
      <c r="N380" s="12" t="s">
        <v>1357</v>
      </c>
      <c r="O380" s="10"/>
      <c r="P380" s="58">
        <v>60700</v>
      </c>
      <c r="Q380" s="13">
        <f t="shared" si="97"/>
        <v>0.59804128053917438</v>
      </c>
      <c r="R380" s="11">
        <f t="shared" si="98"/>
        <v>0</v>
      </c>
      <c r="S380" s="10"/>
      <c r="T380" s="58">
        <f t="shared" si="107"/>
        <v>68371.199999999997</v>
      </c>
      <c r="U380" s="13">
        <f t="shared" si="99"/>
        <v>0.79999999999999993</v>
      </c>
      <c r="V380" s="11">
        <f t="shared" si="100"/>
        <v>0</v>
      </c>
      <c r="W380" s="10"/>
      <c r="X380" s="58">
        <f t="shared" si="108"/>
        <v>77867.199999999997</v>
      </c>
      <c r="Y380" s="13">
        <f t="shared" si="101"/>
        <v>1.0499999999999998</v>
      </c>
      <c r="Z380" s="11">
        <f t="shared" si="102"/>
        <v>0</v>
      </c>
      <c r="AA380" s="10" t="s">
        <v>1358</v>
      </c>
      <c r="AB380" s="10" t="s">
        <v>1359</v>
      </c>
      <c r="AC380" s="2" t="s">
        <v>1360</v>
      </c>
    </row>
    <row r="381" spans="1:29" x14ac:dyDescent="0.3">
      <c r="A381" s="10">
        <v>112</v>
      </c>
      <c r="B381" s="2"/>
      <c r="C381" s="2">
        <v>1</v>
      </c>
      <c r="D381" s="10"/>
      <c r="E381" s="40">
        <v>38500</v>
      </c>
      <c r="F381" s="11">
        <f t="shared" si="91"/>
        <v>0</v>
      </c>
      <c r="G381" s="10"/>
      <c r="H381" s="11">
        <f t="shared" si="92"/>
        <v>0</v>
      </c>
      <c r="I381" s="66">
        <v>245</v>
      </c>
      <c r="J381" s="10" t="s">
        <v>142</v>
      </c>
      <c r="K381" s="10"/>
      <c r="L381" s="10"/>
      <c r="M381" s="10"/>
      <c r="N381" s="12" t="s">
        <v>1361</v>
      </c>
      <c r="O381" s="10"/>
      <c r="P381" s="58">
        <v>61600</v>
      </c>
      <c r="Q381" s="13">
        <f t="shared" si="97"/>
        <v>0.6</v>
      </c>
      <c r="R381" s="11">
        <f t="shared" si="98"/>
        <v>0</v>
      </c>
      <c r="S381" s="10"/>
      <c r="T381" s="58">
        <f t="shared" si="107"/>
        <v>69300</v>
      </c>
      <c r="U381" s="13">
        <f t="shared" si="99"/>
        <v>0.8</v>
      </c>
      <c r="V381" s="11">
        <f t="shared" si="100"/>
        <v>0</v>
      </c>
      <c r="W381" s="10"/>
      <c r="X381" s="58">
        <f t="shared" si="108"/>
        <v>78925</v>
      </c>
      <c r="Y381" s="13">
        <f t="shared" si="101"/>
        <v>1.05</v>
      </c>
      <c r="Z381" s="11">
        <f t="shared" si="102"/>
        <v>0</v>
      </c>
      <c r="AA381" s="10" t="s">
        <v>1362</v>
      </c>
      <c r="AB381" s="10" t="s">
        <v>1363</v>
      </c>
      <c r="AC381" s="2"/>
    </row>
    <row r="382" spans="1:29" x14ac:dyDescent="0.3">
      <c r="A382" s="10">
        <v>113</v>
      </c>
      <c r="B382" s="2"/>
      <c r="C382" s="2">
        <v>1</v>
      </c>
      <c r="D382" s="10"/>
      <c r="E382" s="40">
        <v>33500</v>
      </c>
      <c r="F382" s="11">
        <f t="shared" si="91"/>
        <v>0</v>
      </c>
      <c r="G382" s="10"/>
      <c r="H382" s="11">
        <f t="shared" si="92"/>
        <v>0</v>
      </c>
      <c r="I382" s="67">
        <v>246</v>
      </c>
      <c r="J382" s="10" t="s">
        <v>142</v>
      </c>
      <c r="K382" s="10"/>
      <c r="L382" s="10"/>
      <c r="M382" s="10"/>
      <c r="N382" s="12" t="s">
        <v>1364</v>
      </c>
      <c r="O382" s="10"/>
      <c r="P382" s="58">
        <v>53600</v>
      </c>
      <c r="Q382" s="13">
        <f t="shared" si="97"/>
        <v>0.6</v>
      </c>
      <c r="R382" s="11">
        <f t="shared" si="98"/>
        <v>0</v>
      </c>
      <c r="S382" s="10"/>
      <c r="T382" s="58">
        <f t="shared" si="107"/>
        <v>60300</v>
      </c>
      <c r="U382" s="13">
        <f t="shared" si="99"/>
        <v>0.8</v>
      </c>
      <c r="V382" s="11">
        <f t="shared" si="100"/>
        <v>0</v>
      </c>
      <c r="W382" s="10"/>
      <c r="X382" s="58">
        <f t="shared" si="108"/>
        <v>68675</v>
      </c>
      <c r="Y382" s="13">
        <f t="shared" si="101"/>
        <v>1.05</v>
      </c>
      <c r="Z382" s="11">
        <f t="shared" si="102"/>
        <v>0</v>
      </c>
      <c r="AA382" s="10" t="s">
        <v>1365</v>
      </c>
      <c r="AB382" s="10" t="s">
        <v>1366</v>
      </c>
      <c r="AC382" s="2" t="s">
        <v>1367</v>
      </c>
    </row>
    <row r="383" spans="1:29" x14ac:dyDescent="0.3">
      <c r="A383" s="10">
        <v>114</v>
      </c>
      <c r="B383" s="2"/>
      <c r="C383" s="2">
        <v>1</v>
      </c>
      <c r="D383" s="10"/>
      <c r="E383" s="40">
        <v>2200</v>
      </c>
      <c r="F383" s="11">
        <f t="shared" si="91"/>
        <v>0</v>
      </c>
      <c r="G383" s="10"/>
      <c r="H383" s="11">
        <f t="shared" si="92"/>
        <v>0</v>
      </c>
      <c r="I383" s="66">
        <v>247</v>
      </c>
      <c r="J383" s="10" t="s">
        <v>142</v>
      </c>
      <c r="K383" s="10"/>
      <c r="L383" s="10"/>
      <c r="M383" s="10"/>
      <c r="N383" s="12" t="s">
        <v>1368</v>
      </c>
      <c r="O383" s="10"/>
      <c r="P383" s="58">
        <v>3500</v>
      </c>
      <c r="Q383" s="13">
        <f t="shared" si="97"/>
        <v>0.59090909090909094</v>
      </c>
      <c r="R383" s="11">
        <f t="shared" si="98"/>
        <v>0</v>
      </c>
      <c r="S383" s="10"/>
      <c r="T383" s="58">
        <f t="shared" si="107"/>
        <v>3960</v>
      </c>
      <c r="U383" s="13">
        <f t="shared" si="99"/>
        <v>0.8</v>
      </c>
      <c r="V383" s="11">
        <f t="shared" si="100"/>
        <v>0</v>
      </c>
      <c r="W383" s="10"/>
      <c r="X383" s="58">
        <f t="shared" si="108"/>
        <v>4510</v>
      </c>
      <c r="Y383" s="13">
        <f t="shared" si="101"/>
        <v>1.05</v>
      </c>
      <c r="Z383" s="11">
        <f t="shared" si="102"/>
        <v>0</v>
      </c>
      <c r="AA383" s="10" t="s">
        <v>1369</v>
      </c>
      <c r="AB383" s="10" t="s">
        <v>1370</v>
      </c>
      <c r="AC383" s="2" t="s">
        <v>1371</v>
      </c>
    </row>
    <row r="384" spans="1:29" x14ac:dyDescent="0.3">
      <c r="A384" s="10">
        <v>115</v>
      </c>
      <c r="B384" s="2"/>
      <c r="C384" s="2">
        <v>1</v>
      </c>
      <c r="D384" s="10"/>
      <c r="E384" s="40">
        <v>14900</v>
      </c>
      <c r="F384" s="11">
        <f t="shared" si="91"/>
        <v>0</v>
      </c>
      <c r="G384" s="10"/>
      <c r="H384" s="11">
        <f t="shared" si="92"/>
        <v>0</v>
      </c>
      <c r="I384" s="67">
        <v>248</v>
      </c>
      <c r="J384" s="10" t="s">
        <v>142</v>
      </c>
      <c r="K384" s="10"/>
      <c r="L384" s="10"/>
      <c r="M384" s="10"/>
      <c r="N384" s="12" t="s">
        <v>1372</v>
      </c>
      <c r="O384" s="10"/>
      <c r="P384" s="58">
        <v>23800</v>
      </c>
      <c r="Q384" s="13">
        <f t="shared" si="97"/>
        <v>0.59731543624161076</v>
      </c>
      <c r="R384" s="11">
        <f t="shared" si="98"/>
        <v>0</v>
      </c>
      <c r="S384" s="10"/>
      <c r="T384" s="58">
        <f t="shared" si="107"/>
        <v>26820</v>
      </c>
      <c r="U384" s="13">
        <f t="shared" si="99"/>
        <v>0.8</v>
      </c>
      <c r="V384" s="11">
        <f t="shared" si="100"/>
        <v>0</v>
      </c>
      <c r="W384" s="10"/>
      <c r="X384" s="58">
        <f t="shared" si="108"/>
        <v>30544.999999999996</v>
      </c>
      <c r="Y384" s="13">
        <f t="shared" si="101"/>
        <v>1.0499999999999998</v>
      </c>
      <c r="Z384" s="11">
        <f t="shared" si="102"/>
        <v>0</v>
      </c>
      <c r="AA384" s="10" t="s">
        <v>1373</v>
      </c>
      <c r="AB384" s="10" t="s">
        <v>1374</v>
      </c>
      <c r="AC384" s="2"/>
    </row>
    <row r="385" spans="1:29" x14ac:dyDescent="0.3">
      <c r="A385" s="10">
        <v>116</v>
      </c>
      <c r="B385" s="2"/>
      <c r="C385" s="2">
        <v>1</v>
      </c>
      <c r="D385" s="10"/>
      <c r="E385" s="40">
        <v>11500</v>
      </c>
      <c r="F385" s="11">
        <f t="shared" si="91"/>
        <v>0</v>
      </c>
      <c r="G385" s="10"/>
      <c r="H385" s="11">
        <f t="shared" si="92"/>
        <v>0</v>
      </c>
      <c r="I385" s="66">
        <v>249</v>
      </c>
      <c r="J385" s="10" t="s">
        <v>142</v>
      </c>
      <c r="K385" s="10"/>
      <c r="L385" s="10"/>
      <c r="M385" s="10"/>
      <c r="N385" s="12" t="s">
        <v>1375</v>
      </c>
      <c r="O385" s="10"/>
      <c r="P385" s="58">
        <v>18400</v>
      </c>
      <c r="Q385" s="13">
        <f t="shared" si="97"/>
        <v>0.6</v>
      </c>
      <c r="R385" s="11">
        <f t="shared" si="98"/>
        <v>0</v>
      </c>
      <c r="S385" s="10"/>
      <c r="T385" s="58">
        <f t="shared" si="107"/>
        <v>20700</v>
      </c>
      <c r="U385" s="13">
        <f t="shared" si="99"/>
        <v>0.8</v>
      </c>
      <c r="V385" s="11">
        <f t="shared" si="100"/>
        <v>0</v>
      </c>
      <c r="W385" s="10"/>
      <c r="X385" s="58">
        <f t="shared" si="108"/>
        <v>23574.999999999996</v>
      </c>
      <c r="Y385" s="13">
        <f t="shared" si="101"/>
        <v>1.0499999999999996</v>
      </c>
      <c r="Z385" s="11">
        <f t="shared" si="102"/>
        <v>0</v>
      </c>
      <c r="AA385" s="10" t="s">
        <v>1376</v>
      </c>
      <c r="AB385" s="10" t="s">
        <v>1377</v>
      </c>
      <c r="AC385" s="2" t="s">
        <v>1378</v>
      </c>
    </row>
    <row r="386" spans="1:29" x14ac:dyDescent="0.3">
      <c r="A386" s="10">
        <v>117</v>
      </c>
      <c r="B386" s="2"/>
      <c r="C386" s="2">
        <v>1</v>
      </c>
      <c r="D386" s="10"/>
      <c r="E386" s="40">
        <v>22799</v>
      </c>
      <c r="F386" s="11">
        <f t="shared" si="91"/>
        <v>0</v>
      </c>
      <c r="G386" s="10"/>
      <c r="H386" s="11">
        <f t="shared" si="92"/>
        <v>0</v>
      </c>
      <c r="I386" s="67">
        <v>250</v>
      </c>
      <c r="J386" s="10" t="s">
        <v>142</v>
      </c>
      <c r="K386" s="10"/>
      <c r="L386" s="10"/>
      <c r="M386" s="10"/>
      <c r="N386" s="12" t="s">
        <v>1379</v>
      </c>
      <c r="O386" s="10"/>
      <c r="P386" s="58">
        <v>36400</v>
      </c>
      <c r="Q386" s="13">
        <f t="shared" si="97"/>
        <v>0.59656125268652138</v>
      </c>
      <c r="R386" s="11">
        <f t="shared" si="98"/>
        <v>0</v>
      </c>
      <c r="S386" s="10"/>
      <c r="T386" s="58">
        <f t="shared" si="107"/>
        <v>41038.200000000004</v>
      </c>
      <c r="U386" s="13">
        <f t="shared" si="99"/>
        <v>0.80000000000000016</v>
      </c>
      <c r="V386" s="11">
        <f t="shared" si="100"/>
        <v>0</v>
      </c>
      <c r="W386" s="10"/>
      <c r="X386" s="58">
        <f t="shared" si="108"/>
        <v>46737.95</v>
      </c>
      <c r="Y386" s="13">
        <f t="shared" si="101"/>
        <v>1.0499999999999998</v>
      </c>
      <c r="Z386" s="11">
        <f t="shared" si="102"/>
        <v>0</v>
      </c>
      <c r="AA386" s="10" t="s">
        <v>1380</v>
      </c>
      <c r="AB386" s="10" t="s">
        <v>1381</v>
      </c>
      <c r="AC386" s="2" t="s">
        <v>1382</v>
      </c>
    </row>
    <row r="387" spans="1:29" x14ac:dyDescent="0.3">
      <c r="A387" s="10">
        <v>118</v>
      </c>
      <c r="B387" s="2"/>
      <c r="C387" s="2">
        <v>1</v>
      </c>
      <c r="D387" s="10"/>
      <c r="E387" s="40">
        <v>28899</v>
      </c>
      <c r="F387" s="11">
        <f t="shared" si="91"/>
        <v>0</v>
      </c>
      <c r="G387" s="10"/>
      <c r="H387" s="11">
        <f t="shared" si="92"/>
        <v>0</v>
      </c>
      <c r="I387" s="66">
        <v>251</v>
      </c>
      <c r="J387" s="10" t="s">
        <v>142</v>
      </c>
      <c r="K387" s="10"/>
      <c r="L387" s="10"/>
      <c r="M387" s="10"/>
      <c r="N387" s="12" t="s">
        <v>1383</v>
      </c>
      <c r="O387" s="10"/>
      <c r="P387" s="58">
        <v>46200</v>
      </c>
      <c r="Q387" s="13">
        <f t="shared" si="97"/>
        <v>0.59867123429876468</v>
      </c>
      <c r="R387" s="11">
        <f t="shared" si="98"/>
        <v>0</v>
      </c>
      <c r="S387" s="10"/>
      <c r="T387" s="58">
        <f t="shared" si="107"/>
        <v>52018.200000000004</v>
      </c>
      <c r="U387" s="13">
        <f t="shared" si="99"/>
        <v>0.80000000000000016</v>
      </c>
      <c r="V387" s="11">
        <f t="shared" si="100"/>
        <v>0</v>
      </c>
      <c r="W387" s="10"/>
      <c r="X387" s="58">
        <f t="shared" si="108"/>
        <v>59242.95</v>
      </c>
      <c r="Y387" s="13">
        <f t="shared" si="101"/>
        <v>1.0499999999999998</v>
      </c>
      <c r="Z387" s="11">
        <f t="shared" si="102"/>
        <v>0</v>
      </c>
      <c r="AA387" s="10" t="s">
        <v>1384</v>
      </c>
      <c r="AB387" s="10" t="s">
        <v>1385</v>
      </c>
      <c r="AC387" s="2" t="s">
        <v>1386</v>
      </c>
    </row>
    <row r="388" spans="1:29" x14ac:dyDescent="0.3">
      <c r="A388" s="10">
        <v>119</v>
      </c>
      <c r="B388" s="2"/>
      <c r="C388" s="2">
        <v>1</v>
      </c>
      <c r="D388" s="10"/>
      <c r="E388" s="40">
        <v>25000</v>
      </c>
      <c r="F388" s="11">
        <f t="shared" si="91"/>
        <v>0</v>
      </c>
      <c r="G388" s="10"/>
      <c r="H388" s="11">
        <f t="shared" si="92"/>
        <v>0</v>
      </c>
      <c r="I388" s="67">
        <v>252</v>
      </c>
      <c r="J388" s="10" t="s">
        <v>142</v>
      </c>
      <c r="K388" s="10"/>
      <c r="L388" s="10"/>
      <c r="M388" s="10"/>
      <c r="N388" s="12" t="s">
        <v>1387</v>
      </c>
      <c r="O388" s="10"/>
      <c r="P388" s="58">
        <v>40000</v>
      </c>
      <c r="Q388" s="13">
        <f t="shared" si="97"/>
        <v>0.6</v>
      </c>
      <c r="R388" s="11">
        <f t="shared" si="98"/>
        <v>0</v>
      </c>
      <c r="S388" s="10"/>
      <c r="T388" s="58">
        <f t="shared" si="107"/>
        <v>45000</v>
      </c>
      <c r="U388" s="13">
        <f t="shared" si="99"/>
        <v>0.8</v>
      </c>
      <c r="V388" s="11">
        <f t="shared" si="100"/>
        <v>0</v>
      </c>
      <c r="W388" s="10"/>
      <c r="X388" s="58">
        <f t="shared" si="108"/>
        <v>51249.999999999993</v>
      </c>
      <c r="Y388" s="13">
        <f t="shared" si="101"/>
        <v>1.0499999999999996</v>
      </c>
      <c r="Z388" s="11">
        <f t="shared" si="102"/>
        <v>0</v>
      </c>
      <c r="AA388" s="10" t="s">
        <v>1388</v>
      </c>
      <c r="AB388" s="10" t="s">
        <v>1389</v>
      </c>
      <c r="AC388" s="2"/>
    </row>
    <row r="389" spans="1:29" x14ac:dyDescent="0.3">
      <c r="A389" s="10">
        <v>120</v>
      </c>
      <c r="B389" s="2"/>
      <c r="C389" s="2">
        <v>1</v>
      </c>
      <c r="D389" s="10"/>
      <c r="E389" s="40">
        <v>19900</v>
      </c>
      <c r="F389" s="11">
        <f t="shared" si="91"/>
        <v>0</v>
      </c>
      <c r="G389" s="10"/>
      <c r="H389" s="11">
        <f t="shared" si="92"/>
        <v>0</v>
      </c>
      <c r="I389" s="66">
        <v>253</v>
      </c>
      <c r="J389" s="10" t="s">
        <v>142</v>
      </c>
      <c r="K389" s="10"/>
      <c r="L389" s="10"/>
      <c r="M389" s="10"/>
      <c r="N389" s="12" t="s">
        <v>1390</v>
      </c>
      <c r="O389" s="10"/>
      <c r="P389" s="58">
        <v>31800</v>
      </c>
      <c r="Q389" s="13">
        <f t="shared" si="97"/>
        <v>0.59798994974874375</v>
      </c>
      <c r="R389" s="11">
        <f t="shared" si="98"/>
        <v>0</v>
      </c>
      <c r="S389" s="10"/>
      <c r="T389" s="58">
        <f t="shared" si="107"/>
        <v>35820</v>
      </c>
      <c r="U389" s="13">
        <f t="shared" si="99"/>
        <v>0.8</v>
      </c>
      <c r="V389" s="11">
        <f t="shared" si="100"/>
        <v>0</v>
      </c>
      <c r="W389" s="10"/>
      <c r="X389" s="58">
        <f t="shared" si="108"/>
        <v>40795</v>
      </c>
      <c r="Y389" s="13">
        <f t="shared" si="101"/>
        <v>1.05</v>
      </c>
      <c r="Z389" s="11">
        <f t="shared" si="102"/>
        <v>0</v>
      </c>
      <c r="AA389" s="10" t="s">
        <v>1391</v>
      </c>
      <c r="AB389" s="10" t="s">
        <v>1392</v>
      </c>
      <c r="AC389" s="2" t="s">
        <v>1393</v>
      </c>
    </row>
    <row r="390" spans="1:29" x14ac:dyDescent="0.3">
      <c r="A390" s="5">
        <v>12</v>
      </c>
      <c r="B390" s="5">
        <v>99</v>
      </c>
      <c r="C390" s="5">
        <v>3</v>
      </c>
      <c r="D390" s="5">
        <v>1</v>
      </c>
      <c r="E390" s="41">
        <v>11200</v>
      </c>
      <c r="F390" s="29">
        <f t="shared" si="91"/>
        <v>11200</v>
      </c>
      <c r="G390" s="5"/>
      <c r="H390" s="29">
        <f t="shared" si="92"/>
        <v>0</v>
      </c>
      <c r="I390" s="67">
        <v>254</v>
      </c>
      <c r="J390" s="5" t="s">
        <v>142</v>
      </c>
      <c r="K390" s="5"/>
      <c r="L390" s="5"/>
      <c r="M390" s="5"/>
      <c r="N390" s="6" t="s">
        <v>1430</v>
      </c>
      <c r="O390" s="5">
        <v>1</v>
      </c>
      <c r="P390" s="59">
        <v>17000</v>
      </c>
      <c r="Q390" s="33">
        <f t="shared" si="97"/>
        <v>0.5178571428571429</v>
      </c>
      <c r="R390" s="29">
        <f t="shared" si="98"/>
        <v>17000</v>
      </c>
      <c r="S390" s="5"/>
      <c r="T390" s="41">
        <v>19000</v>
      </c>
      <c r="U390" s="33">
        <f t="shared" si="99"/>
        <v>0.6964285714285714</v>
      </c>
      <c r="V390" s="29">
        <f t="shared" si="100"/>
        <v>0</v>
      </c>
      <c r="W390" s="5"/>
      <c r="X390" s="41">
        <v>23000</v>
      </c>
      <c r="Y390" s="33">
        <f t="shared" si="101"/>
        <v>1.0535714285714286</v>
      </c>
      <c r="Z390" s="29">
        <f t="shared" si="102"/>
        <v>0</v>
      </c>
      <c r="AA390" s="5" t="s">
        <v>1431</v>
      </c>
      <c r="AB390" s="5" t="s">
        <v>1432</v>
      </c>
      <c r="AC390" s="5" t="s">
        <v>1433</v>
      </c>
    </row>
    <row r="391" spans="1:29" x14ac:dyDescent="0.3">
      <c r="A391" s="37">
        <v>568</v>
      </c>
      <c r="B391" s="37"/>
      <c r="C391" s="37">
        <v>5</v>
      </c>
      <c r="D391" s="37"/>
      <c r="E391" s="44">
        <v>11800</v>
      </c>
      <c r="F391" s="38">
        <f t="shared" si="91"/>
        <v>0</v>
      </c>
      <c r="G391" s="37"/>
      <c r="H391" s="38">
        <f t="shared" si="92"/>
        <v>0</v>
      </c>
      <c r="I391" s="66">
        <v>255</v>
      </c>
      <c r="J391" s="37" t="s">
        <v>142</v>
      </c>
      <c r="K391" s="37" t="s">
        <v>1960</v>
      </c>
      <c r="L391" s="37"/>
      <c r="M391" s="37"/>
      <c r="N391" s="36" t="s">
        <v>1441</v>
      </c>
      <c r="O391" s="37"/>
      <c r="P391" s="44">
        <v>18800</v>
      </c>
      <c r="Q391" s="45">
        <f t="shared" si="97"/>
        <v>0.59322033898305082</v>
      </c>
      <c r="R391" s="46">
        <f t="shared" si="98"/>
        <v>0</v>
      </c>
      <c r="S391" s="37"/>
      <c r="T391" s="44">
        <f>E391*1.8</f>
        <v>21240</v>
      </c>
      <c r="U391" s="45">
        <f t="shared" si="99"/>
        <v>0.8</v>
      </c>
      <c r="V391" s="38">
        <f t="shared" si="100"/>
        <v>0</v>
      </c>
      <c r="W391" s="37"/>
      <c r="X391" s="44">
        <f>E391*2.05</f>
        <v>24189.999999999996</v>
      </c>
      <c r="Y391" s="45">
        <f t="shared" si="101"/>
        <v>1.0499999999999996</v>
      </c>
      <c r="Z391" s="38">
        <f t="shared" si="102"/>
        <v>0</v>
      </c>
      <c r="AA391" s="37" t="s">
        <v>1442</v>
      </c>
      <c r="AB391" s="37" t="s">
        <v>1443</v>
      </c>
      <c r="AC391" s="37"/>
    </row>
    <row r="392" spans="1:29" x14ac:dyDescent="0.3">
      <c r="A392" s="10">
        <v>121</v>
      </c>
      <c r="B392" s="2"/>
      <c r="C392" s="2">
        <v>1</v>
      </c>
      <c r="D392" s="10"/>
      <c r="E392" s="40">
        <v>22000</v>
      </c>
      <c r="F392" s="11">
        <f t="shared" si="91"/>
        <v>0</v>
      </c>
      <c r="G392" s="10"/>
      <c r="H392" s="11">
        <f t="shared" si="92"/>
        <v>0</v>
      </c>
      <c r="I392" s="67">
        <v>256</v>
      </c>
      <c r="J392" s="10" t="s">
        <v>142</v>
      </c>
      <c r="K392" s="10"/>
      <c r="L392" s="10"/>
      <c r="M392" s="10"/>
      <c r="N392" s="12" t="s">
        <v>1394</v>
      </c>
      <c r="O392" s="10"/>
      <c r="P392" s="58">
        <v>35200</v>
      </c>
      <c r="Q392" s="13">
        <f t="shared" si="97"/>
        <v>0.6</v>
      </c>
      <c r="R392" s="11">
        <f t="shared" si="98"/>
        <v>0</v>
      </c>
      <c r="S392" s="10"/>
      <c r="T392" s="58">
        <f>E392*1.8</f>
        <v>39600</v>
      </c>
      <c r="U392" s="13">
        <f t="shared" si="99"/>
        <v>0.8</v>
      </c>
      <c r="V392" s="11">
        <f t="shared" si="100"/>
        <v>0</v>
      </c>
      <c r="W392" s="10"/>
      <c r="X392" s="58">
        <f>E392*2.05</f>
        <v>45099.999999999993</v>
      </c>
      <c r="Y392" s="13">
        <f t="shared" si="101"/>
        <v>1.0499999999999996</v>
      </c>
      <c r="Z392" s="11">
        <f t="shared" si="102"/>
        <v>0</v>
      </c>
      <c r="AA392" s="10" t="s">
        <v>1395</v>
      </c>
      <c r="AB392" s="10" t="s">
        <v>1396</v>
      </c>
      <c r="AC392" s="2" t="s">
        <v>1397</v>
      </c>
    </row>
    <row r="393" spans="1:29" x14ac:dyDescent="0.3">
      <c r="A393" s="5">
        <v>13</v>
      </c>
      <c r="B393" s="5">
        <v>110</v>
      </c>
      <c r="C393" s="5">
        <v>3</v>
      </c>
      <c r="D393" s="5">
        <v>4</v>
      </c>
      <c r="E393" s="41">
        <v>4800</v>
      </c>
      <c r="F393" s="29">
        <f t="shared" ref="F393:F456" si="109">D393*E393</f>
        <v>19200</v>
      </c>
      <c r="G393" s="5"/>
      <c r="H393" s="29">
        <f t="shared" ref="H393:H456" si="110">E393*G393</f>
        <v>0</v>
      </c>
      <c r="I393" s="66">
        <v>257</v>
      </c>
      <c r="J393" s="5" t="s">
        <v>142</v>
      </c>
      <c r="K393" s="5"/>
      <c r="L393" s="5"/>
      <c r="M393" s="5"/>
      <c r="N393" s="6" t="s">
        <v>1434</v>
      </c>
      <c r="O393" s="5">
        <v>4</v>
      </c>
      <c r="P393" s="59">
        <v>7500</v>
      </c>
      <c r="Q393" s="33">
        <f t="shared" si="97"/>
        <v>0.5625</v>
      </c>
      <c r="R393" s="29">
        <f t="shared" si="98"/>
        <v>30000</v>
      </c>
      <c r="S393" s="5"/>
      <c r="T393" s="41">
        <v>8000</v>
      </c>
      <c r="U393" s="33">
        <f t="shared" si="99"/>
        <v>0.66666666666666663</v>
      </c>
      <c r="V393" s="29">
        <f t="shared" si="100"/>
        <v>0</v>
      </c>
      <c r="W393" s="5"/>
      <c r="X393" s="41">
        <v>9500</v>
      </c>
      <c r="Y393" s="33">
        <f t="shared" si="101"/>
        <v>0.97916666666666663</v>
      </c>
      <c r="Z393" s="29">
        <f t="shared" si="102"/>
        <v>0</v>
      </c>
      <c r="AA393" s="5" t="s">
        <v>1435</v>
      </c>
      <c r="AB393" s="5" t="s">
        <v>1436</v>
      </c>
      <c r="AC393" s="5"/>
    </row>
    <row r="394" spans="1:29" x14ac:dyDescent="0.3">
      <c r="A394" s="10">
        <v>122</v>
      </c>
      <c r="B394" s="2"/>
      <c r="C394" s="2">
        <v>1</v>
      </c>
      <c r="D394" s="10"/>
      <c r="E394" s="40">
        <v>6400</v>
      </c>
      <c r="F394" s="11">
        <f t="shared" si="109"/>
        <v>0</v>
      </c>
      <c r="G394" s="10"/>
      <c r="H394" s="11">
        <f t="shared" si="110"/>
        <v>0</v>
      </c>
      <c r="I394" s="67">
        <v>258</v>
      </c>
      <c r="J394" s="10" t="s">
        <v>142</v>
      </c>
      <c r="K394" s="10"/>
      <c r="L394" s="10"/>
      <c r="M394" s="10"/>
      <c r="N394" s="12" t="s">
        <v>1398</v>
      </c>
      <c r="O394" s="10"/>
      <c r="P394" s="58">
        <v>10200</v>
      </c>
      <c r="Q394" s="13">
        <f t="shared" si="97"/>
        <v>0.59375</v>
      </c>
      <c r="R394" s="11">
        <f t="shared" si="98"/>
        <v>0</v>
      </c>
      <c r="S394" s="10"/>
      <c r="T394" s="58">
        <f t="shared" ref="T394:T399" si="111">E394*1.8</f>
        <v>11520</v>
      </c>
      <c r="U394" s="13">
        <f t="shared" si="99"/>
        <v>0.8</v>
      </c>
      <c r="V394" s="11">
        <f t="shared" si="100"/>
        <v>0</v>
      </c>
      <c r="W394" s="10"/>
      <c r="X394" s="58">
        <f t="shared" ref="X394:X399" si="112">E394*2.05</f>
        <v>13119.999999999998</v>
      </c>
      <c r="Y394" s="13">
        <f t="shared" si="101"/>
        <v>1.0499999999999998</v>
      </c>
      <c r="Z394" s="11">
        <f t="shared" si="102"/>
        <v>0</v>
      </c>
      <c r="AA394" s="10" t="s">
        <v>1399</v>
      </c>
      <c r="AB394" s="10" t="s">
        <v>1400</v>
      </c>
      <c r="AC394" s="2" t="s">
        <v>1401</v>
      </c>
    </row>
    <row r="395" spans="1:29" x14ac:dyDescent="0.3">
      <c r="A395" s="10">
        <v>123</v>
      </c>
      <c r="B395" s="2"/>
      <c r="C395" s="2">
        <v>1</v>
      </c>
      <c r="D395" s="10"/>
      <c r="E395" s="40">
        <v>8500</v>
      </c>
      <c r="F395" s="11">
        <f t="shared" si="109"/>
        <v>0</v>
      </c>
      <c r="G395" s="10"/>
      <c r="H395" s="11">
        <f t="shared" si="110"/>
        <v>0</v>
      </c>
      <c r="I395" s="66">
        <v>259</v>
      </c>
      <c r="J395" s="10" t="s">
        <v>142</v>
      </c>
      <c r="K395" s="10"/>
      <c r="L395" s="10"/>
      <c r="M395" s="10"/>
      <c r="N395" s="12" t="s">
        <v>1402</v>
      </c>
      <c r="O395" s="10"/>
      <c r="P395" s="58">
        <v>13600</v>
      </c>
      <c r="Q395" s="13">
        <f t="shared" si="97"/>
        <v>0.6</v>
      </c>
      <c r="R395" s="11">
        <f t="shared" si="98"/>
        <v>0</v>
      </c>
      <c r="S395" s="10"/>
      <c r="T395" s="58">
        <f t="shared" si="111"/>
        <v>15300</v>
      </c>
      <c r="U395" s="13">
        <f t="shared" si="99"/>
        <v>0.8</v>
      </c>
      <c r="V395" s="11">
        <f t="shared" si="100"/>
        <v>0</v>
      </c>
      <c r="W395" s="10"/>
      <c r="X395" s="58">
        <f t="shared" si="112"/>
        <v>17425</v>
      </c>
      <c r="Y395" s="13">
        <f t="shared" si="101"/>
        <v>1.05</v>
      </c>
      <c r="Z395" s="11">
        <f t="shared" si="102"/>
        <v>0</v>
      </c>
      <c r="AA395" s="10" t="s">
        <v>1403</v>
      </c>
      <c r="AB395" s="10" t="s">
        <v>1404</v>
      </c>
      <c r="AC395" s="2"/>
    </row>
    <row r="396" spans="1:29" x14ac:dyDescent="0.3">
      <c r="A396" s="10">
        <v>124</v>
      </c>
      <c r="B396" s="2"/>
      <c r="C396" s="2">
        <v>1</v>
      </c>
      <c r="D396" s="10"/>
      <c r="E396" s="40">
        <v>17500</v>
      </c>
      <c r="F396" s="11">
        <f t="shared" si="109"/>
        <v>0</v>
      </c>
      <c r="G396" s="10"/>
      <c r="H396" s="11">
        <f t="shared" si="110"/>
        <v>0</v>
      </c>
      <c r="I396" s="67">
        <v>260</v>
      </c>
      <c r="J396" s="10" t="s">
        <v>142</v>
      </c>
      <c r="K396" s="10"/>
      <c r="L396" s="10"/>
      <c r="M396" s="10"/>
      <c r="N396" s="12" t="s">
        <v>1405</v>
      </c>
      <c r="O396" s="10"/>
      <c r="P396" s="58">
        <v>28000</v>
      </c>
      <c r="Q396" s="13">
        <f t="shared" si="97"/>
        <v>0.6</v>
      </c>
      <c r="R396" s="11">
        <f t="shared" si="98"/>
        <v>0</v>
      </c>
      <c r="S396" s="10"/>
      <c r="T396" s="58">
        <f t="shared" si="111"/>
        <v>31500</v>
      </c>
      <c r="U396" s="13">
        <f t="shared" si="99"/>
        <v>0.8</v>
      </c>
      <c r="V396" s="11">
        <f t="shared" si="100"/>
        <v>0</v>
      </c>
      <c r="W396" s="10"/>
      <c r="X396" s="58">
        <f t="shared" si="112"/>
        <v>35875</v>
      </c>
      <c r="Y396" s="13">
        <f t="shared" si="101"/>
        <v>1.05</v>
      </c>
      <c r="Z396" s="11">
        <f t="shared" si="102"/>
        <v>0</v>
      </c>
      <c r="AA396" s="10" t="s">
        <v>1406</v>
      </c>
      <c r="AB396" s="10" t="s">
        <v>1407</v>
      </c>
      <c r="AC396" s="2"/>
    </row>
    <row r="397" spans="1:29" x14ac:dyDescent="0.3">
      <c r="A397" s="10">
        <v>125</v>
      </c>
      <c r="B397" s="2"/>
      <c r="C397" s="2">
        <v>1</v>
      </c>
      <c r="D397" s="10"/>
      <c r="E397" s="40">
        <v>34898</v>
      </c>
      <c r="F397" s="11">
        <f t="shared" si="109"/>
        <v>0</v>
      </c>
      <c r="G397" s="10"/>
      <c r="H397" s="11">
        <f t="shared" si="110"/>
        <v>0</v>
      </c>
      <c r="I397" s="66">
        <v>261</v>
      </c>
      <c r="J397" s="10" t="s">
        <v>142</v>
      </c>
      <c r="K397" s="10"/>
      <c r="L397" s="10"/>
      <c r="M397" s="10"/>
      <c r="N397" s="12" t="s">
        <v>1408</v>
      </c>
      <c r="O397" s="10"/>
      <c r="P397" s="58">
        <v>55800</v>
      </c>
      <c r="Q397" s="13">
        <f t="shared" si="97"/>
        <v>0.59894549830935873</v>
      </c>
      <c r="R397" s="11">
        <f t="shared" si="98"/>
        <v>0</v>
      </c>
      <c r="S397" s="10"/>
      <c r="T397" s="58">
        <f t="shared" si="111"/>
        <v>62816.4</v>
      </c>
      <c r="U397" s="13">
        <f t="shared" si="99"/>
        <v>0.8</v>
      </c>
      <c r="V397" s="11">
        <f t="shared" si="100"/>
        <v>0</v>
      </c>
      <c r="W397" s="10"/>
      <c r="X397" s="58">
        <f t="shared" si="112"/>
        <v>71540.899999999994</v>
      </c>
      <c r="Y397" s="13">
        <f t="shared" si="101"/>
        <v>1.0499999999999998</v>
      </c>
      <c r="Z397" s="11">
        <f t="shared" si="102"/>
        <v>0</v>
      </c>
      <c r="AA397" s="10" t="s">
        <v>1409</v>
      </c>
      <c r="AB397" s="10" t="s">
        <v>1410</v>
      </c>
      <c r="AC397" s="2" t="s">
        <v>1411</v>
      </c>
    </row>
    <row r="398" spans="1:29" x14ac:dyDescent="0.3">
      <c r="A398" s="10">
        <v>126</v>
      </c>
      <c r="B398" s="2"/>
      <c r="C398" s="2">
        <v>1</v>
      </c>
      <c r="D398" s="10"/>
      <c r="E398" s="40">
        <v>30000</v>
      </c>
      <c r="F398" s="11">
        <f t="shared" si="109"/>
        <v>0</v>
      </c>
      <c r="G398" s="10"/>
      <c r="H398" s="11">
        <f t="shared" si="110"/>
        <v>0</v>
      </c>
      <c r="I398" s="67">
        <v>262</v>
      </c>
      <c r="J398" s="10" t="s">
        <v>142</v>
      </c>
      <c r="K398" s="10"/>
      <c r="L398" s="10"/>
      <c r="M398" s="10"/>
      <c r="N398" s="12" t="s">
        <v>1412</v>
      </c>
      <c r="O398" s="10"/>
      <c r="P398" s="58">
        <v>48000</v>
      </c>
      <c r="Q398" s="13">
        <f t="shared" si="97"/>
        <v>0.6</v>
      </c>
      <c r="R398" s="11">
        <f t="shared" si="98"/>
        <v>0</v>
      </c>
      <c r="S398" s="10"/>
      <c r="T398" s="58">
        <f t="shared" si="111"/>
        <v>54000</v>
      </c>
      <c r="U398" s="13">
        <f t="shared" si="99"/>
        <v>0.8</v>
      </c>
      <c r="V398" s="11">
        <f t="shared" si="100"/>
        <v>0</v>
      </c>
      <c r="W398" s="10"/>
      <c r="X398" s="58">
        <f t="shared" si="112"/>
        <v>61499.999999999993</v>
      </c>
      <c r="Y398" s="13">
        <f t="shared" si="101"/>
        <v>1.0499999999999998</v>
      </c>
      <c r="Z398" s="11">
        <f t="shared" si="102"/>
        <v>0</v>
      </c>
      <c r="AA398" s="10" t="s">
        <v>1413</v>
      </c>
      <c r="AB398" s="10" t="s">
        <v>1414</v>
      </c>
      <c r="AC398" s="2" t="s">
        <v>1415</v>
      </c>
    </row>
    <row r="399" spans="1:29" x14ac:dyDescent="0.3">
      <c r="A399" s="10">
        <v>127</v>
      </c>
      <c r="B399" s="2"/>
      <c r="C399" s="2">
        <v>1</v>
      </c>
      <c r="D399" s="10"/>
      <c r="E399" s="40">
        <v>15900</v>
      </c>
      <c r="F399" s="11">
        <f t="shared" si="109"/>
        <v>0</v>
      </c>
      <c r="G399" s="10"/>
      <c r="H399" s="11">
        <f t="shared" si="110"/>
        <v>0</v>
      </c>
      <c r="I399" s="66">
        <v>263</v>
      </c>
      <c r="J399" s="10" t="s">
        <v>142</v>
      </c>
      <c r="K399" s="10"/>
      <c r="L399" s="10"/>
      <c r="M399" s="10"/>
      <c r="N399" s="12" t="s">
        <v>1416</v>
      </c>
      <c r="O399" s="10"/>
      <c r="P399" s="58">
        <v>25400</v>
      </c>
      <c r="Q399" s="13">
        <f t="shared" si="97"/>
        <v>0.59748427672955973</v>
      </c>
      <c r="R399" s="11">
        <f t="shared" si="98"/>
        <v>0</v>
      </c>
      <c r="S399" s="10"/>
      <c r="T399" s="58">
        <f t="shared" si="111"/>
        <v>28620</v>
      </c>
      <c r="U399" s="13">
        <f t="shared" si="99"/>
        <v>0.8</v>
      </c>
      <c r="V399" s="11">
        <f t="shared" si="100"/>
        <v>0</v>
      </c>
      <c r="W399" s="10"/>
      <c r="X399" s="58">
        <f t="shared" si="112"/>
        <v>32594.999999999996</v>
      </c>
      <c r="Y399" s="13">
        <f t="shared" si="101"/>
        <v>1.0499999999999998</v>
      </c>
      <c r="Z399" s="11">
        <f t="shared" si="102"/>
        <v>0</v>
      </c>
      <c r="AA399" s="10" t="s">
        <v>1417</v>
      </c>
      <c r="AB399" s="10" t="s">
        <v>1418</v>
      </c>
      <c r="AC399" s="2" t="s">
        <v>1419</v>
      </c>
    </row>
    <row r="400" spans="1:29" x14ac:dyDescent="0.3">
      <c r="A400" s="5">
        <v>14</v>
      </c>
      <c r="B400" s="5">
        <v>82</v>
      </c>
      <c r="C400" s="5">
        <v>3</v>
      </c>
      <c r="D400" s="5">
        <v>1</v>
      </c>
      <c r="E400" s="41">
        <v>11300</v>
      </c>
      <c r="F400" s="29">
        <f t="shared" si="109"/>
        <v>11300</v>
      </c>
      <c r="G400" s="5"/>
      <c r="H400" s="29">
        <f t="shared" si="110"/>
        <v>0</v>
      </c>
      <c r="I400" s="67">
        <v>264</v>
      </c>
      <c r="J400" s="5" t="s">
        <v>142</v>
      </c>
      <c r="K400" s="5"/>
      <c r="L400" s="5"/>
      <c r="M400" s="5"/>
      <c r="N400" s="6" t="s">
        <v>1437</v>
      </c>
      <c r="O400" s="5">
        <v>1</v>
      </c>
      <c r="P400" s="59">
        <v>18000</v>
      </c>
      <c r="Q400" s="33">
        <f t="shared" si="97"/>
        <v>0.59292035398230092</v>
      </c>
      <c r="R400" s="32">
        <f t="shared" si="98"/>
        <v>18000</v>
      </c>
      <c r="S400" s="5"/>
      <c r="T400" s="41">
        <v>20500</v>
      </c>
      <c r="U400" s="33">
        <f t="shared" si="99"/>
        <v>0.81415929203539827</v>
      </c>
      <c r="V400" s="29">
        <f t="shared" si="100"/>
        <v>0</v>
      </c>
      <c r="W400" s="5"/>
      <c r="X400" s="41">
        <v>24000</v>
      </c>
      <c r="Y400" s="33">
        <f t="shared" si="101"/>
        <v>1.1238938053097345</v>
      </c>
      <c r="Z400" s="29">
        <f t="shared" si="102"/>
        <v>0</v>
      </c>
      <c r="AA400" s="5" t="s">
        <v>1438</v>
      </c>
      <c r="AB400" s="5" t="s">
        <v>1439</v>
      </c>
      <c r="AC400" s="5" t="s">
        <v>1440</v>
      </c>
    </row>
    <row r="401" spans="1:29" x14ac:dyDescent="0.3">
      <c r="A401" s="10">
        <v>128</v>
      </c>
      <c r="B401" s="2"/>
      <c r="C401" s="2">
        <v>1</v>
      </c>
      <c r="D401" s="10"/>
      <c r="E401" s="40">
        <v>9500</v>
      </c>
      <c r="F401" s="11">
        <f t="shared" si="109"/>
        <v>0</v>
      </c>
      <c r="G401" s="10"/>
      <c r="H401" s="11">
        <f t="shared" si="110"/>
        <v>0</v>
      </c>
      <c r="I401" s="66">
        <v>265</v>
      </c>
      <c r="J401" s="10" t="s">
        <v>142</v>
      </c>
      <c r="K401" s="10"/>
      <c r="L401" s="10"/>
      <c r="M401" s="10"/>
      <c r="N401" s="12" t="s">
        <v>1420</v>
      </c>
      <c r="O401" s="10"/>
      <c r="P401" s="58">
        <v>15200</v>
      </c>
      <c r="Q401" s="13">
        <f t="shared" si="97"/>
        <v>0.6</v>
      </c>
      <c r="R401" s="11">
        <f t="shared" si="98"/>
        <v>0</v>
      </c>
      <c r="S401" s="10"/>
      <c r="T401" s="58">
        <f>E401*1.8</f>
        <v>17100</v>
      </c>
      <c r="U401" s="13">
        <f t="shared" si="99"/>
        <v>0.8</v>
      </c>
      <c r="V401" s="11">
        <f t="shared" si="100"/>
        <v>0</v>
      </c>
      <c r="W401" s="10"/>
      <c r="X401" s="58">
        <f>E401*2.05</f>
        <v>19475</v>
      </c>
      <c r="Y401" s="13">
        <f t="shared" si="101"/>
        <v>1.05</v>
      </c>
      <c r="Z401" s="11">
        <f t="shared" si="102"/>
        <v>0</v>
      </c>
      <c r="AA401" s="10" t="s">
        <v>1421</v>
      </c>
      <c r="AB401" s="10" t="s">
        <v>1422</v>
      </c>
      <c r="AC401" s="2"/>
    </row>
    <row r="402" spans="1:29" x14ac:dyDescent="0.3">
      <c r="A402" s="10">
        <v>129</v>
      </c>
      <c r="B402" s="2"/>
      <c r="C402" s="2">
        <v>1</v>
      </c>
      <c r="D402" s="10"/>
      <c r="E402" s="40">
        <v>7500</v>
      </c>
      <c r="F402" s="11">
        <f t="shared" si="109"/>
        <v>0</v>
      </c>
      <c r="G402" s="10"/>
      <c r="H402" s="11">
        <f t="shared" si="110"/>
        <v>0</v>
      </c>
      <c r="I402" s="67">
        <v>266</v>
      </c>
      <c r="J402" s="10" t="s">
        <v>142</v>
      </c>
      <c r="K402" s="10"/>
      <c r="L402" s="10"/>
      <c r="M402" s="10"/>
      <c r="N402" s="12" t="s">
        <v>1423</v>
      </c>
      <c r="O402" s="10"/>
      <c r="P402" s="58">
        <v>12000</v>
      </c>
      <c r="Q402" s="13">
        <f t="shared" si="97"/>
        <v>0.6</v>
      </c>
      <c r="R402" s="11">
        <f t="shared" si="98"/>
        <v>0</v>
      </c>
      <c r="S402" s="10"/>
      <c r="T402" s="58">
        <f>E402*1.8</f>
        <v>13500</v>
      </c>
      <c r="U402" s="13">
        <f t="shared" si="99"/>
        <v>0.8</v>
      </c>
      <c r="V402" s="11">
        <f t="shared" si="100"/>
        <v>0</v>
      </c>
      <c r="W402" s="10"/>
      <c r="X402" s="58">
        <f>E402*2.05</f>
        <v>15374.999999999998</v>
      </c>
      <c r="Y402" s="13">
        <f t="shared" si="101"/>
        <v>1.0499999999999998</v>
      </c>
      <c r="Z402" s="11">
        <f t="shared" si="102"/>
        <v>0</v>
      </c>
      <c r="AA402" s="10" t="s">
        <v>1424</v>
      </c>
      <c r="AB402" s="10" t="s">
        <v>1425</v>
      </c>
      <c r="AC402" s="2"/>
    </row>
    <row r="403" spans="1:29" x14ac:dyDescent="0.3">
      <c r="A403" s="10">
        <v>142</v>
      </c>
      <c r="B403" s="2"/>
      <c r="C403" s="2">
        <v>1</v>
      </c>
      <c r="D403" s="10"/>
      <c r="E403" s="40">
        <v>22900</v>
      </c>
      <c r="F403" s="11">
        <f t="shared" si="109"/>
        <v>0</v>
      </c>
      <c r="G403" s="10"/>
      <c r="H403" s="11">
        <f t="shared" si="110"/>
        <v>0</v>
      </c>
      <c r="I403" s="66">
        <v>267</v>
      </c>
      <c r="J403" s="10" t="s">
        <v>215</v>
      </c>
      <c r="K403" s="10"/>
      <c r="L403" s="10"/>
      <c r="M403" s="10"/>
      <c r="N403" s="12" t="s">
        <v>1446</v>
      </c>
      <c r="O403" s="10"/>
      <c r="P403" s="58">
        <v>36600</v>
      </c>
      <c r="Q403" s="13">
        <f t="shared" si="97"/>
        <v>0.59825327510917026</v>
      </c>
      <c r="R403" s="11">
        <f t="shared" si="98"/>
        <v>0</v>
      </c>
      <c r="S403" s="10"/>
      <c r="T403" s="58">
        <f>E403*1.8</f>
        <v>41220</v>
      </c>
      <c r="U403" s="13">
        <f t="shared" si="99"/>
        <v>0.8</v>
      </c>
      <c r="V403" s="11">
        <f t="shared" si="100"/>
        <v>0</v>
      </c>
      <c r="W403" s="10"/>
      <c r="X403" s="58">
        <f>E403*2.05</f>
        <v>46944.999999999993</v>
      </c>
      <c r="Y403" s="13">
        <f t="shared" si="101"/>
        <v>1.0499999999999996</v>
      </c>
      <c r="Z403" s="11">
        <f t="shared" si="102"/>
        <v>0</v>
      </c>
      <c r="AA403" s="10" t="s">
        <v>1447</v>
      </c>
      <c r="AB403" s="10" t="s">
        <v>1448</v>
      </c>
      <c r="AC403" s="2"/>
    </row>
    <row r="404" spans="1:29" x14ac:dyDescent="0.3">
      <c r="A404" s="10">
        <v>143</v>
      </c>
      <c r="B404" s="2"/>
      <c r="C404" s="2">
        <v>1</v>
      </c>
      <c r="D404" s="10"/>
      <c r="E404" s="40">
        <v>25000</v>
      </c>
      <c r="F404" s="11">
        <f t="shared" si="109"/>
        <v>0</v>
      </c>
      <c r="G404" s="10"/>
      <c r="H404" s="11">
        <f t="shared" si="110"/>
        <v>0</v>
      </c>
      <c r="I404" s="67">
        <v>268</v>
      </c>
      <c r="J404" s="10" t="s">
        <v>397</v>
      </c>
      <c r="K404" s="10"/>
      <c r="L404" s="10"/>
      <c r="M404" s="10"/>
      <c r="N404" s="12" t="s">
        <v>1449</v>
      </c>
      <c r="O404" s="10"/>
      <c r="P404" s="58">
        <v>40000</v>
      </c>
      <c r="Q404" s="13">
        <f t="shared" si="97"/>
        <v>0.6</v>
      </c>
      <c r="R404" s="11">
        <f t="shared" si="98"/>
        <v>0</v>
      </c>
      <c r="S404" s="10"/>
      <c r="T404" s="58">
        <f>E404*1.8</f>
        <v>45000</v>
      </c>
      <c r="U404" s="13">
        <f t="shared" si="99"/>
        <v>0.8</v>
      </c>
      <c r="V404" s="11">
        <f t="shared" si="100"/>
        <v>0</v>
      </c>
      <c r="W404" s="10"/>
      <c r="X404" s="58">
        <f>E404*2.05</f>
        <v>51249.999999999993</v>
      </c>
      <c r="Y404" s="13">
        <f t="shared" si="101"/>
        <v>1.0499999999999996</v>
      </c>
      <c r="Z404" s="11">
        <f t="shared" si="102"/>
        <v>0</v>
      </c>
      <c r="AA404" s="10" t="s">
        <v>1450</v>
      </c>
      <c r="AB404" s="10" t="s">
        <v>1451</v>
      </c>
      <c r="AC404" s="2" t="s">
        <v>1452</v>
      </c>
    </row>
    <row r="405" spans="1:29" x14ac:dyDescent="0.3">
      <c r="A405" s="5">
        <v>35</v>
      </c>
      <c r="B405" s="5"/>
      <c r="C405" s="5">
        <v>3</v>
      </c>
      <c r="D405" s="5">
        <v>4</v>
      </c>
      <c r="E405" s="41">
        <v>14500</v>
      </c>
      <c r="F405" s="29">
        <f t="shared" si="109"/>
        <v>58000</v>
      </c>
      <c r="G405" s="5"/>
      <c r="H405" s="29">
        <f t="shared" si="110"/>
        <v>0</v>
      </c>
      <c r="I405" s="66">
        <v>269</v>
      </c>
      <c r="J405" s="5" t="s">
        <v>397</v>
      </c>
      <c r="K405" s="5"/>
      <c r="L405" s="5"/>
      <c r="M405" s="5"/>
      <c r="N405" s="30" t="s">
        <v>1701</v>
      </c>
      <c r="O405" s="5">
        <v>4</v>
      </c>
      <c r="P405" s="59">
        <v>22000</v>
      </c>
      <c r="Q405" s="33">
        <f t="shared" si="97"/>
        <v>0.51724137931034486</v>
      </c>
      <c r="R405" s="29">
        <f t="shared" si="98"/>
        <v>88000</v>
      </c>
      <c r="S405" s="5"/>
      <c r="T405" s="41">
        <v>25000</v>
      </c>
      <c r="U405" s="33">
        <f t="shared" si="99"/>
        <v>0.72413793103448276</v>
      </c>
      <c r="V405" s="29">
        <f t="shared" si="100"/>
        <v>0</v>
      </c>
      <c r="W405" s="5"/>
      <c r="X405" s="41">
        <v>29000</v>
      </c>
      <c r="Y405" s="33">
        <f t="shared" si="101"/>
        <v>1</v>
      </c>
      <c r="Z405" s="29">
        <f t="shared" si="102"/>
        <v>0</v>
      </c>
      <c r="AA405" s="5" t="s">
        <v>1702</v>
      </c>
      <c r="AB405" s="5" t="s">
        <v>1703</v>
      </c>
      <c r="AC405" s="5" t="s">
        <v>1704</v>
      </c>
    </row>
    <row r="406" spans="1:29" x14ac:dyDescent="0.3">
      <c r="A406" s="10">
        <v>144</v>
      </c>
      <c r="B406" s="2"/>
      <c r="C406" s="2">
        <v>1</v>
      </c>
      <c r="D406" s="10"/>
      <c r="E406" s="40">
        <v>36000</v>
      </c>
      <c r="F406" s="11">
        <f t="shared" si="109"/>
        <v>0</v>
      </c>
      <c r="G406" s="10"/>
      <c r="H406" s="11">
        <f t="shared" si="110"/>
        <v>0</v>
      </c>
      <c r="I406" s="67">
        <v>270</v>
      </c>
      <c r="J406" s="10" t="s">
        <v>215</v>
      </c>
      <c r="K406" s="10"/>
      <c r="L406" s="10"/>
      <c r="M406" s="10"/>
      <c r="N406" s="12" t="s">
        <v>1453</v>
      </c>
      <c r="O406" s="10"/>
      <c r="P406" s="58">
        <v>57600</v>
      </c>
      <c r="Q406" s="13">
        <f t="shared" si="97"/>
        <v>0.6</v>
      </c>
      <c r="R406" s="11">
        <f t="shared" si="98"/>
        <v>0</v>
      </c>
      <c r="S406" s="10"/>
      <c r="T406" s="58">
        <f>E406*1.8</f>
        <v>64800</v>
      </c>
      <c r="U406" s="13">
        <f t="shared" si="99"/>
        <v>0.8</v>
      </c>
      <c r="V406" s="11">
        <f t="shared" si="100"/>
        <v>0</v>
      </c>
      <c r="W406" s="10"/>
      <c r="X406" s="58">
        <f>E406*2.05</f>
        <v>73800</v>
      </c>
      <c r="Y406" s="13">
        <f t="shared" si="101"/>
        <v>1.05</v>
      </c>
      <c r="Z406" s="11">
        <f t="shared" si="102"/>
        <v>0</v>
      </c>
      <c r="AA406" s="10" t="s">
        <v>1454</v>
      </c>
      <c r="AB406" s="10" t="s">
        <v>1455</v>
      </c>
      <c r="AC406" s="2" t="s">
        <v>1456</v>
      </c>
    </row>
    <row r="407" spans="1:29" x14ac:dyDescent="0.3">
      <c r="A407" s="10">
        <v>222</v>
      </c>
      <c r="B407" s="2"/>
      <c r="C407" s="2">
        <v>1</v>
      </c>
      <c r="D407" s="10"/>
      <c r="E407" s="40">
        <v>11000</v>
      </c>
      <c r="F407" s="11">
        <f t="shared" si="109"/>
        <v>0</v>
      </c>
      <c r="G407" s="10"/>
      <c r="H407" s="11">
        <f t="shared" si="110"/>
        <v>0</v>
      </c>
      <c r="I407" s="66">
        <v>271</v>
      </c>
      <c r="J407" s="10" t="s">
        <v>397</v>
      </c>
      <c r="K407" s="10"/>
      <c r="L407" s="10"/>
      <c r="M407" s="10"/>
      <c r="N407" s="12" t="s">
        <v>1457</v>
      </c>
      <c r="O407" s="10"/>
      <c r="P407" s="58">
        <v>17600</v>
      </c>
      <c r="Q407" s="13">
        <f t="shared" si="97"/>
        <v>0.6</v>
      </c>
      <c r="R407" s="11">
        <f t="shared" si="98"/>
        <v>0</v>
      </c>
      <c r="S407" s="10"/>
      <c r="T407" s="58">
        <f>E407*1.8</f>
        <v>19800</v>
      </c>
      <c r="U407" s="13">
        <f t="shared" si="99"/>
        <v>0.8</v>
      </c>
      <c r="V407" s="11">
        <f t="shared" si="100"/>
        <v>0</v>
      </c>
      <c r="W407" s="10"/>
      <c r="X407" s="58">
        <f>E407*2.05</f>
        <v>22549.999999999996</v>
      </c>
      <c r="Y407" s="13">
        <f t="shared" si="101"/>
        <v>1.0499999999999996</v>
      </c>
      <c r="Z407" s="11">
        <f t="shared" si="102"/>
        <v>0</v>
      </c>
      <c r="AA407" s="10" t="s">
        <v>1458</v>
      </c>
      <c r="AB407" s="10" t="s">
        <v>1459</v>
      </c>
      <c r="AC407" s="2" t="s">
        <v>1460</v>
      </c>
    </row>
    <row r="408" spans="1:29" x14ac:dyDescent="0.3">
      <c r="A408" s="5">
        <v>39</v>
      </c>
      <c r="B408" s="5">
        <v>103</v>
      </c>
      <c r="C408" s="5">
        <v>3</v>
      </c>
      <c r="D408" s="5">
        <v>1</v>
      </c>
      <c r="E408" s="41">
        <v>4300</v>
      </c>
      <c r="F408" s="29">
        <f t="shared" si="109"/>
        <v>4300</v>
      </c>
      <c r="G408" s="5"/>
      <c r="H408" s="29">
        <f t="shared" si="110"/>
        <v>0</v>
      </c>
      <c r="I408" s="67">
        <v>272</v>
      </c>
      <c r="J408" s="5" t="s">
        <v>397</v>
      </c>
      <c r="K408" s="5"/>
      <c r="L408" s="5"/>
      <c r="M408" s="5"/>
      <c r="N408" s="6" t="s">
        <v>1705</v>
      </c>
      <c r="O408" s="5">
        <v>1</v>
      </c>
      <c r="P408" s="59">
        <v>7500</v>
      </c>
      <c r="Q408" s="34">
        <f t="shared" si="97"/>
        <v>0.7441860465116279</v>
      </c>
      <c r="R408" s="29">
        <f t="shared" si="98"/>
        <v>7500</v>
      </c>
      <c r="S408" s="5"/>
      <c r="T408" s="41">
        <v>8500</v>
      </c>
      <c r="U408" s="33">
        <f t="shared" si="99"/>
        <v>0.97674418604651159</v>
      </c>
      <c r="V408" s="29">
        <f t="shared" si="100"/>
        <v>0</v>
      </c>
      <c r="W408" s="5"/>
      <c r="X408" s="41">
        <v>10000</v>
      </c>
      <c r="Y408" s="33">
        <f t="shared" si="101"/>
        <v>1.3255813953488371</v>
      </c>
      <c r="Z408" s="29">
        <f t="shared" si="102"/>
        <v>0</v>
      </c>
      <c r="AA408" s="5" t="s">
        <v>1706</v>
      </c>
      <c r="AB408" s="5" t="s">
        <v>1707</v>
      </c>
      <c r="AC408" s="5" t="s">
        <v>1708</v>
      </c>
    </row>
    <row r="409" spans="1:29" x14ac:dyDescent="0.3">
      <c r="A409" s="37">
        <v>537</v>
      </c>
      <c r="B409" s="37"/>
      <c r="C409" s="37">
        <v>5</v>
      </c>
      <c r="D409" s="37"/>
      <c r="E409" s="44">
        <v>3500</v>
      </c>
      <c r="F409" s="38">
        <f t="shared" si="109"/>
        <v>0</v>
      </c>
      <c r="G409" s="37"/>
      <c r="H409" s="38">
        <f t="shared" si="110"/>
        <v>0</v>
      </c>
      <c r="I409" s="66">
        <v>273</v>
      </c>
      <c r="J409" s="37" t="s">
        <v>397</v>
      </c>
      <c r="K409" s="37" t="s">
        <v>1960</v>
      </c>
      <c r="L409" s="37"/>
      <c r="M409" s="37"/>
      <c r="N409" s="36" t="s">
        <v>1711</v>
      </c>
      <c r="O409" s="37"/>
      <c r="P409" s="44">
        <v>5600</v>
      </c>
      <c r="Q409" s="45">
        <f t="shared" si="97"/>
        <v>0.6</v>
      </c>
      <c r="R409" s="46">
        <f t="shared" si="98"/>
        <v>0</v>
      </c>
      <c r="S409" s="37"/>
      <c r="T409" s="44">
        <f t="shared" ref="T409:T417" si="113">E409*1.8</f>
        <v>6300</v>
      </c>
      <c r="U409" s="45">
        <f t="shared" si="99"/>
        <v>0.8</v>
      </c>
      <c r="V409" s="38">
        <f t="shared" si="100"/>
        <v>0</v>
      </c>
      <c r="W409" s="37"/>
      <c r="X409" s="44">
        <f t="shared" ref="X409:X417" si="114">E409*2.05</f>
        <v>7174.9999999999991</v>
      </c>
      <c r="Y409" s="45">
        <f t="shared" si="101"/>
        <v>1.0499999999999998</v>
      </c>
      <c r="Z409" s="38">
        <f t="shared" si="102"/>
        <v>0</v>
      </c>
      <c r="AA409" s="37" t="s">
        <v>1712</v>
      </c>
      <c r="AB409" s="37" t="s">
        <v>1713</v>
      </c>
      <c r="AC409" s="37"/>
    </row>
    <row r="410" spans="1:29" x14ac:dyDescent="0.3">
      <c r="A410" s="10">
        <v>145</v>
      </c>
      <c r="B410" s="2"/>
      <c r="C410" s="2">
        <v>1</v>
      </c>
      <c r="D410" s="10"/>
      <c r="E410" s="40">
        <v>24500</v>
      </c>
      <c r="F410" s="11">
        <f t="shared" si="109"/>
        <v>0</v>
      </c>
      <c r="G410" s="10"/>
      <c r="H410" s="11">
        <f t="shared" si="110"/>
        <v>0</v>
      </c>
      <c r="I410" s="67">
        <v>274</v>
      </c>
      <c r="J410" s="10" t="s">
        <v>215</v>
      </c>
      <c r="K410" s="10"/>
      <c r="L410" s="10"/>
      <c r="M410" s="10"/>
      <c r="N410" s="12" t="s">
        <v>1461</v>
      </c>
      <c r="O410" s="10"/>
      <c r="P410" s="58">
        <v>39200</v>
      </c>
      <c r="Q410" s="13">
        <f t="shared" si="97"/>
        <v>0.6</v>
      </c>
      <c r="R410" s="11">
        <f t="shared" si="98"/>
        <v>0</v>
      </c>
      <c r="S410" s="10"/>
      <c r="T410" s="58">
        <f t="shared" si="113"/>
        <v>44100</v>
      </c>
      <c r="U410" s="13">
        <f t="shared" si="99"/>
        <v>0.8</v>
      </c>
      <c r="V410" s="11">
        <f t="shared" si="100"/>
        <v>0</v>
      </c>
      <c r="W410" s="10"/>
      <c r="X410" s="58">
        <f t="shared" si="114"/>
        <v>50224.999999999993</v>
      </c>
      <c r="Y410" s="13">
        <f t="shared" si="101"/>
        <v>1.0499999999999996</v>
      </c>
      <c r="Z410" s="11">
        <f t="shared" si="102"/>
        <v>0</v>
      </c>
      <c r="AA410" s="10" t="s">
        <v>1462</v>
      </c>
      <c r="AB410" s="10" t="s">
        <v>1463</v>
      </c>
      <c r="AC410" s="2"/>
    </row>
    <row r="411" spans="1:29" x14ac:dyDescent="0.3">
      <c r="A411" s="10">
        <v>146</v>
      </c>
      <c r="B411" s="2"/>
      <c r="C411" s="2">
        <v>1</v>
      </c>
      <c r="D411" s="10"/>
      <c r="E411" s="40">
        <v>19500</v>
      </c>
      <c r="F411" s="11">
        <f t="shared" si="109"/>
        <v>0</v>
      </c>
      <c r="G411" s="10"/>
      <c r="H411" s="11">
        <f t="shared" si="110"/>
        <v>0</v>
      </c>
      <c r="I411" s="66">
        <v>275</v>
      </c>
      <c r="J411" s="10" t="s">
        <v>215</v>
      </c>
      <c r="K411" s="10"/>
      <c r="L411" s="10"/>
      <c r="M411" s="10"/>
      <c r="N411" s="12" t="s">
        <v>1464</v>
      </c>
      <c r="O411" s="10"/>
      <c r="P411" s="58">
        <v>31200</v>
      </c>
      <c r="Q411" s="13">
        <f t="shared" si="97"/>
        <v>0.6</v>
      </c>
      <c r="R411" s="11">
        <f t="shared" si="98"/>
        <v>0</v>
      </c>
      <c r="S411" s="10"/>
      <c r="T411" s="58">
        <f t="shared" si="113"/>
        <v>35100</v>
      </c>
      <c r="U411" s="13">
        <f t="shared" si="99"/>
        <v>0.8</v>
      </c>
      <c r="V411" s="11">
        <f t="shared" si="100"/>
        <v>0</v>
      </c>
      <c r="W411" s="10"/>
      <c r="X411" s="58">
        <f t="shared" si="114"/>
        <v>39975</v>
      </c>
      <c r="Y411" s="13">
        <f t="shared" si="101"/>
        <v>1.05</v>
      </c>
      <c r="Z411" s="11">
        <f t="shared" si="102"/>
        <v>0</v>
      </c>
      <c r="AA411" s="10" t="s">
        <v>1465</v>
      </c>
      <c r="AB411" s="10" t="s">
        <v>1466</v>
      </c>
      <c r="AC411" s="2"/>
    </row>
    <row r="412" spans="1:29" x14ac:dyDescent="0.3">
      <c r="A412" s="10">
        <v>147</v>
      </c>
      <c r="B412" s="2"/>
      <c r="C412" s="2">
        <v>1</v>
      </c>
      <c r="D412" s="10"/>
      <c r="E412" s="40">
        <v>125000</v>
      </c>
      <c r="F412" s="11">
        <f t="shared" si="109"/>
        <v>0</v>
      </c>
      <c r="G412" s="10"/>
      <c r="H412" s="11">
        <f t="shared" si="110"/>
        <v>0</v>
      </c>
      <c r="I412" s="67">
        <v>276</v>
      </c>
      <c r="J412" s="10" t="s">
        <v>215</v>
      </c>
      <c r="K412" s="10"/>
      <c r="L412" s="10"/>
      <c r="M412" s="10"/>
      <c r="N412" s="12" t="s">
        <v>1467</v>
      </c>
      <c r="O412" s="10"/>
      <c r="P412" s="58">
        <v>200000</v>
      </c>
      <c r="Q412" s="13">
        <f t="shared" si="97"/>
        <v>0.6</v>
      </c>
      <c r="R412" s="11">
        <f t="shared" si="98"/>
        <v>0</v>
      </c>
      <c r="S412" s="10"/>
      <c r="T412" s="58">
        <f t="shared" si="113"/>
        <v>225000</v>
      </c>
      <c r="U412" s="13">
        <f t="shared" si="99"/>
        <v>0.8</v>
      </c>
      <c r="V412" s="11">
        <f t="shared" si="100"/>
        <v>0</v>
      </c>
      <c r="W412" s="10"/>
      <c r="X412" s="58">
        <f t="shared" si="114"/>
        <v>256249.99999999997</v>
      </c>
      <c r="Y412" s="13">
        <f t="shared" si="101"/>
        <v>1.0499999999999998</v>
      </c>
      <c r="Z412" s="11">
        <f t="shared" si="102"/>
        <v>0</v>
      </c>
      <c r="AA412" s="10" t="s">
        <v>1468</v>
      </c>
      <c r="AB412" s="10" t="s">
        <v>1469</v>
      </c>
      <c r="AC412" s="2"/>
    </row>
    <row r="413" spans="1:29" x14ac:dyDescent="0.3">
      <c r="A413" s="10">
        <v>223</v>
      </c>
      <c r="B413" s="2"/>
      <c r="C413" s="2">
        <v>1</v>
      </c>
      <c r="D413" s="10"/>
      <c r="E413" s="40">
        <v>31500</v>
      </c>
      <c r="F413" s="11">
        <f t="shared" si="109"/>
        <v>0</v>
      </c>
      <c r="G413" s="10"/>
      <c r="H413" s="11">
        <f t="shared" si="110"/>
        <v>0</v>
      </c>
      <c r="I413" s="66">
        <v>277</v>
      </c>
      <c r="J413" s="10" t="s">
        <v>397</v>
      </c>
      <c r="K413" s="10"/>
      <c r="L413" s="10"/>
      <c r="M413" s="10"/>
      <c r="N413" s="12" t="s">
        <v>1470</v>
      </c>
      <c r="O413" s="10"/>
      <c r="P413" s="58">
        <v>50400</v>
      </c>
      <c r="Q413" s="13">
        <f t="shared" si="97"/>
        <v>0.6</v>
      </c>
      <c r="R413" s="11">
        <f t="shared" si="98"/>
        <v>0</v>
      </c>
      <c r="S413" s="10"/>
      <c r="T413" s="58">
        <f t="shared" si="113"/>
        <v>56700</v>
      </c>
      <c r="U413" s="13">
        <f t="shared" si="99"/>
        <v>0.8</v>
      </c>
      <c r="V413" s="11">
        <f t="shared" si="100"/>
        <v>0</v>
      </c>
      <c r="W413" s="10"/>
      <c r="X413" s="58">
        <f t="shared" si="114"/>
        <v>64574.999999999993</v>
      </c>
      <c r="Y413" s="13">
        <f t="shared" si="101"/>
        <v>1.0499999999999998</v>
      </c>
      <c r="Z413" s="11">
        <f t="shared" si="102"/>
        <v>0</v>
      </c>
      <c r="AA413" s="10" t="s">
        <v>1471</v>
      </c>
      <c r="AB413" s="10" t="s">
        <v>1472</v>
      </c>
      <c r="AC413" s="2" t="s">
        <v>1473</v>
      </c>
    </row>
    <row r="414" spans="1:29" x14ac:dyDescent="0.3">
      <c r="A414" s="10">
        <v>148</v>
      </c>
      <c r="B414" s="2"/>
      <c r="C414" s="2">
        <v>1</v>
      </c>
      <c r="D414" s="10"/>
      <c r="E414" s="40">
        <v>145499</v>
      </c>
      <c r="F414" s="11">
        <f t="shared" si="109"/>
        <v>0</v>
      </c>
      <c r="G414" s="10"/>
      <c r="H414" s="11">
        <f t="shared" si="110"/>
        <v>0</v>
      </c>
      <c r="I414" s="67">
        <v>278</v>
      </c>
      <c r="J414" s="10" t="s">
        <v>215</v>
      </c>
      <c r="K414" s="10"/>
      <c r="L414" s="10"/>
      <c r="M414" s="10"/>
      <c r="N414" s="12" t="s">
        <v>1474</v>
      </c>
      <c r="O414" s="10"/>
      <c r="P414" s="58">
        <v>232700</v>
      </c>
      <c r="Q414" s="13">
        <f t="shared" si="97"/>
        <v>0.59932370669214219</v>
      </c>
      <c r="R414" s="11">
        <f t="shared" si="98"/>
        <v>0</v>
      </c>
      <c r="S414" s="10"/>
      <c r="T414" s="58">
        <f t="shared" si="113"/>
        <v>261898.2</v>
      </c>
      <c r="U414" s="13">
        <f t="shared" si="99"/>
        <v>0.8</v>
      </c>
      <c r="V414" s="11">
        <f t="shared" si="100"/>
        <v>0</v>
      </c>
      <c r="W414" s="10"/>
      <c r="X414" s="58">
        <f t="shared" si="114"/>
        <v>298272.94999999995</v>
      </c>
      <c r="Y414" s="13">
        <f t="shared" si="101"/>
        <v>1.0499999999999996</v>
      </c>
      <c r="Z414" s="11">
        <f t="shared" si="102"/>
        <v>0</v>
      </c>
      <c r="AA414" s="10" t="s">
        <v>1475</v>
      </c>
      <c r="AB414" s="10" t="s">
        <v>1476</v>
      </c>
      <c r="AC414" s="2" t="s">
        <v>1477</v>
      </c>
    </row>
    <row r="415" spans="1:29" x14ac:dyDescent="0.3">
      <c r="A415" s="10">
        <v>149</v>
      </c>
      <c r="B415" s="2"/>
      <c r="C415" s="2">
        <v>1</v>
      </c>
      <c r="D415" s="10"/>
      <c r="E415" s="40">
        <v>27998</v>
      </c>
      <c r="F415" s="11">
        <f t="shared" si="109"/>
        <v>0</v>
      </c>
      <c r="G415" s="10"/>
      <c r="H415" s="11">
        <f t="shared" si="110"/>
        <v>0</v>
      </c>
      <c r="I415" s="66">
        <v>279</v>
      </c>
      <c r="J415" s="10" t="s">
        <v>215</v>
      </c>
      <c r="K415" s="10"/>
      <c r="L415" s="10"/>
      <c r="M415" s="10"/>
      <c r="N415" s="12" t="s">
        <v>1478</v>
      </c>
      <c r="O415" s="10"/>
      <c r="P415" s="58">
        <v>44700</v>
      </c>
      <c r="Q415" s="13">
        <f t="shared" si="97"/>
        <v>0.59654261018644184</v>
      </c>
      <c r="R415" s="11">
        <f t="shared" si="98"/>
        <v>0</v>
      </c>
      <c r="S415" s="10"/>
      <c r="T415" s="58">
        <f t="shared" si="113"/>
        <v>50396.4</v>
      </c>
      <c r="U415" s="13">
        <f t="shared" si="99"/>
        <v>0.8</v>
      </c>
      <c r="V415" s="11">
        <f t="shared" si="100"/>
        <v>0</v>
      </c>
      <c r="W415" s="10"/>
      <c r="X415" s="58">
        <f t="shared" si="114"/>
        <v>57395.899999999994</v>
      </c>
      <c r="Y415" s="13">
        <f t="shared" si="101"/>
        <v>1.0499999999999998</v>
      </c>
      <c r="Z415" s="11">
        <f t="shared" si="102"/>
        <v>0</v>
      </c>
      <c r="AA415" s="10" t="s">
        <v>1479</v>
      </c>
      <c r="AB415" s="10" t="s">
        <v>1480</v>
      </c>
      <c r="AC415" s="2" t="s">
        <v>1481</v>
      </c>
    </row>
    <row r="416" spans="1:29" x14ac:dyDescent="0.3">
      <c r="A416" s="10">
        <v>224</v>
      </c>
      <c r="B416" s="2"/>
      <c r="C416" s="2">
        <v>1</v>
      </c>
      <c r="D416" s="10"/>
      <c r="E416" s="40">
        <v>14894</v>
      </c>
      <c r="F416" s="11">
        <f t="shared" si="109"/>
        <v>0</v>
      </c>
      <c r="G416" s="10"/>
      <c r="H416" s="11">
        <f t="shared" si="110"/>
        <v>0</v>
      </c>
      <c r="I416" s="67">
        <v>280</v>
      </c>
      <c r="J416" s="10" t="s">
        <v>397</v>
      </c>
      <c r="K416" s="10"/>
      <c r="L416" s="10"/>
      <c r="M416" s="10"/>
      <c r="N416" s="12" t="s">
        <v>1482</v>
      </c>
      <c r="O416" s="10"/>
      <c r="P416" s="58">
        <v>23800</v>
      </c>
      <c r="Q416" s="13">
        <f t="shared" si="97"/>
        <v>0.5979589096280381</v>
      </c>
      <c r="R416" s="11">
        <f t="shared" si="98"/>
        <v>0</v>
      </c>
      <c r="S416" s="10"/>
      <c r="T416" s="58">
        <f t="shared" si="113"/>
        <v>26809.200000000001</v>
      </c>
      <c r="U416" s="13">
        <f t="shared" si="99"/>
        <v>0.8</v>
      </c>
      <c r="V416" s="11">
        <f t="shared" si="100"/>
        <v>0</v>
      </c>
      <c r="W416" s="10"/>
      <c r="X416" s="58">
        <f t="shared" si="114"/>
        <v>30532.699999999997</v>
      </c>
      <c r="Y416" s="13">
        <f t="shared" si="101"/>
        <v>1.0499999999999998</v>
      </c>
      <c r="Z416" s="11">
        <f t="shared" si="102"/>
        <v>0</v>
      </c>
      <c r="AA416" s="10" t="s">
        <v>1483</v>
      </c>
      <c r="AB416" s="10" t="s">
        <v>1484</v>
      </c>
      <c r="AC416" s="2" t="s">
        <v>1485</v>
      </c>
    </row>
    <row r="417" spans="1:29" x14ac:dyDescent="0.3">
      <c r="A417" s="10">
        <v>150</v>
      </c>
      <c r="B417" s="2"/>
      <c r="C417" s="2">
        <v>1</v>
      </c>
      <c r="D417" s="10"/>
      <c r="E417" s="40">
        <v>9900</v>
      </c>
      <c r="F417" s="11">
        <f t="shared" si="109"/>
        <v>0</v>
      </c>
      <c r="G417" s="10"/>
      <c r="H417" s="11">
        <f t="shared" si="110"/>
        <v>0</v>
      </c>
      <c r="I417" s="66">
        <v>281</v>
      </c>
      <c r="J417" s="10" t="s">
        <v>215</v>
      </c>
      <c r="K417" s="10"/>
      <c r="L417" s="10"/>
      <c r="M417" s="10"/>
      <c r="N417" s="12" t="s">
        <v>1486</v>
      </c>
      <c r="O417" s="10"/>
      <c r="P417" s="58">
        <v>15800</v>
      </c>
      <c r="Q417" s="13">
        <f t="shared" si="97"/>
        <v>0.59595959595959591</v>
      </c>
      <c r="R417" s="11">
        <f t="shared" si="98"/>
        <v>0</v>
      </c>
      <c r="S417" s="10"/>
      <c r="T417" s="58">
        <f t="shared" si="113"/>
        <v>17820</v>
      </c>
      <c r="U417" s="13">
        <f t="shared" si="99"/>
        <v>0.8</v>
      </c>
      <c r="V417" s="11">
        <f t="shared" si="100"/>
        <v>0</v>
      </c>
      <c r="W417" s="10"/>
      <c r="X417" s="58">
        <f t="shared" si="114"/>
        <v>20295</v>
      </c>
      <c r="Y417" s="13">
        <f t="shared" si="101"/>
        <v>1.05</v>
      </c>
      <c r="Z417" s="11">
        <f t="shared" si="102"/>
        <v>0</v>
      </c>
      <c r="AA417" s="10" t="s">
        <v>1487</v>
      </c>
      <c r="AB417" s="10" t="s">
        <v>1488</v>
      </c>
      <c r="AC417" s="2"/>
    </row>
    <row r="418" spans="1:29" x14ac:dyDescent="0.3">
      <c r="A418" s="49">
        <v>36</v>
      </c>
      <c r="B418" s="49">
        <v>105</v>
      </c>
      <c r="C418" s="49">
        <v>4</v>
      </c>
      <c r="D418" s="49">
        <v>19</v>
      </c>
      <c r="E418" s="50">
        <v>5000</v>
      </c>
      <c r="F418" s="51">
        <f t="shared" si="109"/>
        <v>95000</v>
      </c>
      <c r="G418" s="49"/>
      <c r="H418" s="51">
        <f t="shared" si="110"/>
        <v>0</v>
      </c>
      <c r="I418" s="67">
        <v>282</v>
      </c>
      <c r="J418" s="51" t="s">
        <v>215</v>
      </c>
      <c r="K418" s="51"/>
      <c r="L418" s="51" t="s">
        <v>517</v>
      </c>
      <c r="M418" s="51" t="s">
        <v>518</v>
      </c>
      <c r="N418" s="52" t="s">
        <v>1444</v>
      </c>
      <c r="O418" s="49">
        <v>19</v>
      </c>
      <c r="P418" s="71">
        <v>7500</v>
      </c>
      <c r="Q418" s="53">
        <f t="shared" ref="Q418:Q481" si="115">(P418-E418)/E418</f>
        <v>0.5</v>
      </c>
      <c r="R418" s="51">
        <f t="shared" ref="R418:R481" si="116">O418*P418</f>
        <v>142500</v>
      </c>
      <c r="S418" s="49"/>
      <c r="T418" s="50">
        <v>8500</v>
      </c>
      <c r="U418" s="53">
        <f t="shared" ref="U418:U481" si="117">(T418-E418)/E418</f>
        <v>0.7</v>
      </c>
      <c r="V418" s="51">
        <f t="shared" ref="V418:V481" si="118">S418*T418</f>
        <v>0</v>
      </c>
      <c r="W418" s="49"/>
      <c r="X418" s="50">
        <v>10000</v>
      </c>
      <c r="Y418" s="53">
        <f t="shared" ref="Y418:Y481" si="119">(X418-E418)/E418</f>
        <v>1</v>
      </c>
      <c r="Z418" s="51">
        <f t="shared" ref="Z418:Z481" si="120">W418*X418</f>
        <v>0</v>
      </c>
      <c r="AA418" s="49" t="s">
        <v>1445</v>
      </c>
      <c r="AB418" s="49"/>
      <c r="AC418" s="49"/>
    </row>
    <row r="419" spans="1:29" x14ac:dyDescent="0.3">
      <c r="A419" s="10">
        <v>151</v>
      </c>
      <c r="B419" s="2"/>
      <c r="C419" s="2">
        <v>1</v>
      </c>
      <c r="D419" s="10"/>
      <c r="E419" s="40">
        <v>29000</v>
      </c>
      <c r="F419" s="11">
        <f t="shared" si="109"/>
        <v>0</v>
      </c>
      <c r="G419" s="10"/>
      <c r="H419" s="11">
        <f t="shared" si="110"/>
        <v>0</v>
      </c>
      <c r="I419" s="66">
        <v>283</v>
      </c>
      <c r="J419" s="10" t="s">
        <v>215</v>
      </c>
      <c r="K419" s="10"/>
      <c r="L419" s="10"/>
      <c r="M419" s="10"/>
      <c r="N419" s="12" t="s">
        <v>1489</v>
      </c>
      <c r="O419" s="10"/>
      <c r="P419" s="58">
        <v>46400</v>
      </c>
      <c r="Q419" s="13">
        <f t="shared" si="115"/>
        <v>0.6</v>
      </c>
      <c r="R419" s="11">
        <f t="shared" si="116"/>
        <v>0</v>
      </c>
      <c r="S419" s="10"/>
      <c r="T419" s="58">
        <f t="shared" ref="T419:T452" si="121">E419*1.8</f>
        <v>52200</v>
      </c>
      <c r="U419" s="13">
        <f t="shared" si="117"/>
        <v>0.8</v>
      </c>
      <c r="V419" s="11">
        <f t="shared" si="118"/>
        <v>0</v>
      </c>
      <c r="W419" s="10"/>
      <c r="X419" s="58">
        <f t="shared" ref="X419:X452" si="122">E419*2.05</f>
        <v>59449.999999999993</v>
      </c>
      <c r="Y419" s="13">
        <f t="shared" si="119"/>
        <v>1.0499999999999998</v>
      </c>
      <c r="Z419" s="11">
        <f t="shared" si="120"/>
        <v>0</v>
      </c>
      <c r="AA419" s="10" t="s">
        <v>1490</v>
      </c>
      <c r="AB419" s="10" t="s">
        <v>1491</v>
      </c>
      <c r="AC419" s="2"/>
    </row>
    <row r="420" spans="1:29" x14ac:dyDescent="0.3">
      <c r="A420" s="10">
        <v>152</v>
      </c>
      <c r="B420" s="2"/>
      <c r="C420" s="2">
        <v>1</v>
      </c>
      <c r="D420" s="10"/>
      <c r="E420" s="40">
        <v>18600</v>
      </c>
      <c r="F420" s="11">
        <f t="shared" si="109"/>
        <v>0</v>
      </c>
      <c r="G420" s="10"/>
      <c r="H420" s="11">
        <f t="shared" si="110"/>
        <v>0</v>
      </c>
      <c r="I420" s="67">
        <v>284</v>
      </c>
      <c r="J420" s="10" t="s">
        <v>215</v>
      </c>
      <c r="K420" s="10"/>
      <c r="L420" s="10"/>
      <c r="M420" s="10"/>
      <c r="N420" s="12" t="s">
        <v>1492</v>
      </c>
      <c r="O420" s="10"/>
      <c r="P420" s="58">
        <v>29700</v>
      </c>
      <c r="Q420" s="13">
        <f t="shared" si="115"/>
        <v>0.59677419354838712</v>
      </c>
      <c r="R420" s="11">
        <f t="shared" si="116"/>
        <v>0</v>
      </c>
      <c r="S420" s="10"/>
      <c r="T420" s="58">
        <f t="shared" si="121"/>
        <v>33480</v>
      </c>
      <c r="U420" s="13">
        <f t="shared" si="117"/>
        <v>0.8</v>
      </c>
      <c r="V420" s="11">
        <f t="shared" si="118"/>
        <v>0</v>
      </c>
      <c r="W420" s="10"/>
      <c r="X420" s="58">
        <f t="shared" si="122"/>
        <v>38130</v>
      </c>
      <c r="Y420" s="13">
        <f t="shared" si="119"/>
        <v>1.05</v>
      </c>
      <c r="Z420" s="11">
        <f t="shared" si="120"/>
        <v>0</v>
      </c>
      <c r="AA420" s="10" t="s">
        <v>1493</v>
      </c>
      <c r="AB420" s="10" t="s">
        <v>1494</v>
      </c>
      <c r="AC420" s="2" t="s">
        <v>1495</v>
      </c>
    </row>
    <row r="421" spans="1:29" x14ac:dyDescent="0.3">
      <c r="A421" s="10">
        <v>82</v>
      </c>
      <c r="B421" s="2"/>
      <c r="C421" s="2">
        <v>1</v>
      </c>
      <c r="D421" s="10"/>
      <c r="E421" s="40">
        <v>52500</v>
      </c>
      <c r="F421" s="11">
        <f t="shared" si="109"/>
        <v>0</v>
      </c>
      <c r="G421" s="10"/>
      <c r="H421" s="11">
        <f t="shared" si="110"/>
        <v>0</v>
      </c>
      <c r="I421" s="66">
        <v>285</v>
      </c>
      <c r="J421" s="10" t="s">
        <v>215</v>
      </c>
      <c r="K421" s="10"/>
      <c r="L421" s="10"/>
      <c r="M421" s="10"/>
      <c r="N421" s="12" t="s">
        <v>1496</v>
      </c>
      <c r="O421" s="10"/>
      <c r="P421" s="58">
        <v>84000</v>
      </c>
      <c r="Q421" s="13">
        <f t="shared" si="115"/>
        <v>0.6</v>
      </c>
      <c r="R421" s="11">
        <f t="shared" si="116"/>
        <v>0</v>
      </c>
      <c r="S421" s="10"/>
      <c r="T421" s="58">
        <f t="shared" si="121"/>
        <v>94500</v>
      </c>
      <c r="U421" s="13">
        <f t="shared" si="117"/>
        <v>0.8</v>
      </c>
      <c r="V421" s="11">
        <f t="shared" si="118"/>
        <v>0</v>
      </c>
      <c r="W421" s="10"/>
      <c r="X421" s="58">
        <f t="shared" si="122"/>
        <v>107624.99999999999</v>
      </c>
      <c r="Y421" s="13">
        <f t="shared" si="119"/>
        <v>1.0499999999999998</v>
      </c>
      <c r="Z421" s="11">
        <f t="shared" si="120"/>
        <v>0</v>
      </c>
      <c r="AA421" s="10" t="s">
        <v>1497</v>
      </c>
      <c r="AB421" s="10" t="s">
        <v>1498</v>
      </c>
      <c r="AC421" s="2"/>
    </row>
    <row r="422" spans="1:29" x14ac:dyDescent="0.3">
      <c r="A422" s="10">
        <v>153</v>
      </c>
      <c r="B422" s="2"/>
      <c r="C422" s="2">
        <v>1</v>
      </c>
      <c r="D422" s="10"/>
      <c r="E422" s="40">
        <v>36000</v>
      </c>
      <c r="F422" s="11">
        <f t="shared" si="109"/>
        <v>0</v>
      </c>
      <c r="G422" s="10"/>
      <c r="H422" s="11">
        <f t="shared" si="110"/>
        <v>0</v>
      </c>
      <c r="I422" s="67">
        <v>286</v>
      </c>
      <c r="J422" s="10" t="s">
        <v>215</v>
      </c>
      <c r="K422" s="10"/>
      <c r="L422" s="10"/>
      <c r="M422" s="10"/>
      <c r="N422" s="12" t="s">
        <v>1499</v>
      </c>
      <c r="O422" s="10"/>
      <c r="P422" s="58">
        <v>57600</v>
      </c>
      <c r="Q422" s="13">
        <f t="shared" si="115"/>
        <v>0.6</v>
      </c>
      <c r="R422" s="11">
        <f t="shared" si="116"/>
        <v>0</v>
      </c>
      <c r="S422" s="10"/>
      <c r="T422" s="58">
        <f t="shared" si="121"/>
        <v>64800</v>
      </c>
      <c r="U422" s="13">
        <f t="shared" si="117"/>
        <v>0.8</v>
      </c>
      <c r="V422" s="11">
        <f t="shared" si="118"/>
        <v>0</v>
      </c>
      <c r="W422" s="10"/>
      <c r="X422" s="58">
        <f t="shared" si="122"/>
        <v>73800</v>
      </c>
      <c r="Y422" s="13">
        <f t="shared" si="119"/>
        <v>1.05</v>
      </c>
      <c r="Z422" s="11">
        <f t="shared" si="120"/>
        <v>0</v>
      </c>
      <c r="AA422" s="10" t="s">
        <v>1500</v>
      </c>
      <c r="AB422" s="10" t="s">
        <v>1501</v>
      </c>
      <c r="AC422" s="2"/>
    </row>
    <row r="423" spans="1:29" x14ac:dyDescent="0.3">
      <c r="A423" s="10">
        <v>154</v>
      </c>
      <c r="B423" s="2"/>
      <c r="C423" s="2">
        <v>1</v>
      </c>
      <c r="D423" s="10"/>
      <c r="E423" s="40">
        <v>49500</v>
      </c>
      <c r="F423" s="11">
        <f t="shared" si="109"/>
        <v>0</v>
      </c>
      <c r="G423" s="10"/>
      <c r="H423" s="11">
        <f t="shared" si="110"/>
        <v>0</v>
      </c>
      <c r="I423" s="66">
        <v>287</v>
      </c>
      <c r="J423" s="10" t="s">
        <v>215</v>
      </c>
      <c r="K423" s="10"/>
      <c r="L423" s="10"/>
      <c r="M423" s="10"/>
      <c r="N423" s="12" t="s">
        <v>1502</v>
      </c>
      <c r="O423" s="10"/>
      <c r="P423" s="58">
        <v>79200</v>
      </c>
      <c r="Q423" s="13">
        <f t="shared" si="115"/>
        <v>0.6</v>
      </c>
      <c r="R423" s="11">
        <f t="shared" si="116"/>
        <v>0</v>
      </c>
      <c r="S423" s="10"/>
      <c r="T423" s="58">
        <f t="shared" si="121"/>
        <v>89100</v>
      </c>
      <c r="U423" s="13">
        <f t="shared" si="117"/>
        <v>0.8</v>
      </c>
      <c r="V423" s="11">
        <f t="shared" si="118"/>
        <v>0</v>
      </c>
      <c r="W423" s="10"/>
      <c r="X423" s="58">
        <f t="shared" si="122"/>
        <v>101474.99999999999</v>
      </c>
      <c r="Y423" s="13">
        <f t="shared" si="119"/>
        <v>1.0499999999999996</v>
      </c>
      <c r="Z423" s="11">
        <f t="shared" si="120"/>
        <v>0</v>
      </c>
      <c r="AA423" s="10" t="s">
        <v>1503</v>
      </c>
      <c r="AB423" s="10" t="s">
        <v>1504</v>
      </c>
      <c r="AC423" s="2"/>
    </row>
    <row r="424" spans="1:29" x14ac:dyDescent="0.3">
      <c r="A424" s="10">
        <v>231</v>
      </c>
      <c r="B424" s="2"/>
      <c r="C424" s="2">
        <v>1</v>
      </c>
      <c r="D424" s="10"/>
      <c r="E424" s="40">
        <v>49990</v>
      </c>
      <c r="F424" s="11">
        <f t="shared" si="109"/>
        <v>0</v>
      </c>
      <c r="G424" s="10"/>
      <c r="H424" s="11">
        <f t="shared" si="110"/>
        <v>0</v>
      </c>
      <c r="I424" s="67">
        <v>288</v>
      </c>
      <c r="J424" s="10" t="s">
        <v>397</v>
      </c>
      <c r="K424" s="10"/>
      <c r="L424" s="10"/>
      <c r="M424" s="10"/>
      <c r="N424" s="12" t="s">
        <v>1505</v>
      </c>
      <c r="O424" s="10"/>
      <c r="P424" s="58">
        <v>79900</v>
      </c>
      <c r="Q424" s="13">
        <f t="shared" si="115"/>
        <v>0.59831966393278657</v>
      </c>
      <c r="R424" s="11">
        <f t="shared" si="116"/>
        <v>0</v>
      </c>
      <c r="S424" s="10"/>
      <c r="T424" s="58">
        <f t="shared" si="121"/>
        <v>89982</v>
      </c>
      <c r="U424" s="13">
        <f t="shared" si="117"/>
        <v>0.8</v>
      </c>
      <c r="V424" s="11">
        <f t="shared" si="118"/>
        <v>0</v>
      </c>
      <c r="W424" s="10"/>
      <c r="X424" s="58">
        <f t="shared" si="122"/>
        <v>102479.49999999999</v>
      </c>
      <c r="Y424" s="13">
        <f t="shared" si="119"/>
        <v>1.0499999999999996</v>
      </c>
      <c r="Z424" s="11">
        <f t="shared" si="120"/>
        <v>0</v>
      </c>
      <c r="AA424" s="10" t="s">
        <v>1506</v>
      </c>
      <c r="AB424" s="10" t="s">
        <v>1507</v>
      </c>
      <c r="AC424" s="2"/>
    </row>
    <row r="425" spans="1:29" x14ac:dyDescent="0.3">
      <c r="A425" s="10">
        <v>155</v>
      </c>
      <c r="B425" s="2"/>
      <c r="C425" s="2">
        <v>1</v>
      </c>
      <c r="D425" s="10"/>
      <c r="E425" s="40">
        <v>19498</v>
      </c>
      <c r="F425" s="11">
        <f t="shared" si="109"/>
        <v>0</v>
      </c>
      <c r="G425" s="10"/>
      <c r="H425" s="11">
        <f t="shared" si="110"/>
        <v>0</v>
      </c>
      <c r="I425" s="66">
        <v>289</v>
      </c>
      <c r="J425" s="10" t="s">
        <v>215</v>
      </c>
      <c r="K425" s="10"/>
      <c r="L425" s="10"/>
      <c r="M425" s="10"/>
      <c r="N425" s="12" t="s">
        <v>1508</v>
      </c>
      <c r="O425" s="10"/>
      <c r="P425" s="58">
        <v>31100</v>
      </c>
      <c r="Q425" s="13">
        <f t="shared" si="115"/>
        <v>0.59503538824494817</v>
      </c>
      <c r="R425" s="11">
        <f t="shared" si="116"/>
        <v>0</v>
      </c>
      <c r="S425" s="10"/>
      <c r="T425" s="58">
        <f t="shared" si="121"/>
        <v>35096.400000000001</v>
      </c>
      <c r="U425" s="13">
        <f t="shared" si="117"/>
        <v>0.8</v>
      </c>
      <c r="V425" s="11">
        <f t="shared" si="118"/>
        <v>0</v>
      </c>
      <c r="W425" s="10"/>
      <c r="X425" s="58">
        <f t="shared" si="122"/>
        <v>39970.899999999994</v>
      </c>
      <c r="Y425" s="13">
        <f t="shared" si="119"/>
        <v>1.0499999999999996</v>
      </c>
      <c r="Z425" s="11">
        <f t="shared" si="120"/>
        <v>0</v>
      </c>
      <c r="AA425" s="10" t="s">
        <v>1509</v>
      </c>
      <c r="AB425" s="10" t="s">
        <v>1510</v>
      </c>
      <c r="AC425" s="2" t="s">
        <v>1511</v>
      </c>
    </row>
    <row r="426" spans="1:29" x14ac:dyDescent="0.3">
      <c r="A426" s="10">
        <v>156</v>
      </c>
      <c r="B426" s="2"/>
      <c r="C426" s="2">
        <v>1</v>
      </c>
      <c r="D426" s="10"/>
      <c r="E426" s="40">
        <v>74000</v>
      </c>
      <c r="F426" s="11">
        <f t="shared" si="109"/>
        <v>0</v>
      </c>
      <c r="G426" s="10"/>
      <c r="H426" s="11">
        <f t="shared" si="110"/>
        <v>0</v>
      </c>
      <c r="I426" s="67">
        <v>290</v>
      </c>
      <c r="J426" s="10" t="s">
        <v>215</v>
      </c>
      <c r="K426" s="10"/>
      <c r="L426" s="10"/>
      <c r="M426" s="10"/>
      <c r="N426" s="12" t="s">
        <v>1512</v>
      </c>
      <c r="O426" s="10"/>
      <c r="P426" s="58">
        <v>118400</v>
      </c>
      <c r="Q426" s="13">
        <f t="shared" si="115"/>
        <v>0.6</v>
      </c>
      <c r="R426" s="11">
        <f t="shared" si="116"/>
        <v>0</v>
      </c>
      <c r="S426" s="10"/>
      <c r="T426" s="58">
        <f t="shared" si="121"/>
        <v>133200</v>
      </c>
      <c r="U426" s="13">
        <f t="shared" si="117"/>
        <v>0.8</v>
      </c>
      <c r="V426" s="11">
        <f t="shared" si="118"/>
        <v>0</v>
      </c>
      <c r="W426" s="10"/>
      <c r="X426" s="58">
        <f t="shared" si="122"/>
        <v>151700</v>
      </c>
      <c r="Y426" s="13">
        <f t="shared" si="119"/>
        <v>1.05</v>
      </c>
      <c r="Z426" s="11">
        <f t="shared" si="120"/>
        <v>0</v>
      </c>
      <c r="AA426" s="10" t="s">
        <v>1513</v>
      </c>
      <c r="AB426" s="10" t="s">
        <v>1514</v>
      </c>
      <c r="AC426" s="2" t="s">
        <v>1515</v>
      </c>
    </row>
    <row r="427" spans="1:29" x14ac:dyDescent="0.3">
      <c r="A427" s="10">
        <v>157</v>
      </c>
      <c r="B427" s="2"/>
      <c r="C427" s="2">
        <v>1</v>
      </c>
      <c r="D427" s="10"/>
      <c r="E427" s="40">
        <v>12500</v>
      </c>
      <c r="F427" s="11">
        <f t="shared" si="109"/>
        <v>0</v>
      </c>
      <c r="G427" s="10"/>
      <c r="H427" s="11">
        <f t="shared" si="110"/>
        <v>0</v>
      </c>
      <c r="I427" s="66">
        <v>291</v>
      </c>
      <c r="J427" s="10" t="s">
        <v>215</v>
      </c>
      <c r="K427" s="10"/>
      <c r="L427" s="10"/>
      <c r="M427" s="10"/>
      <c r="N427" s="12" t="s">
        <v>1516</v>
      </c>
      <c r="O427" s="10"/>
      <c r="P427" s="58">
        <v>20000</v>
      </c>
      <c r="Q427" s="13">
        <f t="shared" si="115"/>
        <v>0.6</v>
      </c>
      <c r="R427" s="11">
        <f t="shared" si="116"/>
        <v>0</v>
      </c>
      <c r="S427" s="10"/>
      <c r="T427" s="58">
        <f t="shared" si="121"/>
        <v>22500</v>
      </c>
      <c r="U427" s="13">
        <f t="shared" si="117"/>
        <v>0.8</v>
      </c>
      <c r="V427" s="11">
        <f t="shared" si="118"/>
        <v>0</v>
      </c>
      <c r="W427" s="10"/>
      <c r="X427" s="58">
        <f t="shared" si="122"/>
        <v>25624.999999999996</v>
      </c>
      <c r="Y427" s="13">
        <f t="shared" si="119"/>
        <v>1.0499999999999996</v>
      </c>
      <c r="Z427" s="11">
        <f t="shared" si="120"/>
        <v>0</v>
      </c>
      <c r="AA427" s="10" t="s">
        <v>1517</v>
      </c>
      <c r="AB427" s="10" t="s">
        <v>1518</v>
      </c>
      <c r="AC427" s="2"/>
    </row>
    <row r="428" spans="1:29" x14ac:dyDescent="0.3">
      <c r="A428" s="10">
        <v>158</v>
      </c>
      <c r="B428" s="2"/>
      <c r="C428" s="2">
        <v>1</v>
      </c>
      <c r="D428" s="10"/>
      <c r="E428" s="40">
        <v>69000</v>
      </c>
      <c r="F428" s="11">
        <f t="shared" si="109"/>
        <v>0</v>
      </c>
      <c r="G428" s="10"/>
      <c r="H428" s="11">
        <f t="shared" si="110"/>
        <v>0</v>
      </c>
      <c r="I428" s="67">
        <v>292</v>
      </c>
      <c r="J428" s="10" t="s">
        <v>215</v>
      </c>
      <c r="K428" s="10"/>
      <c r="L428" s="10"/>
      <c r="M428" s="10"/>
      <c r="N428" s="12" t="s">
        <v>1519</v>
      </c>
      <c r="O428" s="10"/>
      <c r="P428" s="58">
        <v>110400</v>
      </c>
      <c r="Q428" s="13">
        <f t="shared" si="115"/>
        <v>0.6</v>
      </c>
      <c r="R428" s="11">
        <f t="shared" si="116"/>
        <v>0</v>
      </c>
      <c r="S428" s="10"/>
      <c r="T428" s="58">
        <f t="shared" si="121"/>
        <v>124200</v>
      </c>
      <c r="U428" s="13">
        <f t="shared" si="117"/>
        <v>0.8</v>
      </c>
      <c r="V428" s="11">
        <f t="shared" si="118"/>
        <v>0</v>
      </c>
      <c r="W428" s="10"/>
      <c r="X428" s="58">
        <f t="shared" si="122"/>
        <v>141450</v>
      </c>
      <c r="Y428" s="13">
        <f t="shared" si="119"/>
        <v>1.05</v>
      </c>
      <c r="Z428" s="11">
        <f t="shared" si="120"/>
        <v>0</v>
      </c>
      <c r="AA428" s="10" t="s">
        <v>1520</v>
      </c>
      <c r="AB428" s="10" t="s">
        <v>1521</v>
      </c>
      <c r="AC428" s="2"/>
    </row>
    <row r="429" spans="1:29" x14ac:dyDescent="0.3">
      <c r="A429" s="10">
        <v>159</v>
      </c>
      <c r="B429" s="2"/>
      <c r="C429" s="2">
        <v>1</v>
      </c>
      <c r="D429" s="10"/>
      <c r="E429" s="40">
        <v>58500</v>
      </c>
      <c r="F429" s="11">
        <f t="shared" si="109"/>
        <v>0</v>
      </c>
      <c r="G429" s="10"/>
      <c r="H429" s="11">
        <f t="shared" si="110"/>
        <v>0</v>
      </c>
      <c r="I429" s="66">
        <v>293</v>
      </c>
      <c r="J429" s="10" t="s">
        <v>215</v>
      </c>
      <c r="K429" s="10"/>
      <c r="L429" s="10"/>
      <c r="M429" s="10"/>
      <c r="N429" s="12" t="s">
        <v>1522</v>
      </c>
      <c r="O429" s="10"/>
      <c r="P429" s="58">
        <v>93600</v>
      </c>
      <c r="Q429" s="13">
        <f t="shared" si="115"/>
        <v>0.6</v>
      </c>
      <c r="R429" s="11">
        <f t="shared" si="116"/>
        <v>0</v>
      </c>
      <c r="S429" s="10"/>
      <c r="T429" s="58">
        <f t="shared" si="121"/>
        <v>105300</v>
      </c>
      <c r="U429" s="13">
        <f t="shared" si="117"/>
        <v>0.8</v>
      </c>
      <c r="V429" s="11">
        <f t="shared" si="118"/>
        <v>0</v>
      </c>
      <c r="W429" s="10"/>
      <c r="X429" s="58">
        <f t="shared" si="122"/>
        <v>119924.99999999999</v>
      </c>
      <c r="Y429" s="13">
        <f t="shared" si="119"/>
        <v>1.0499999999999998</v>
      </c>
      <c r="Z429" s="11">
        <f t="shared" si="120"/>
        <v>0</v>
      </c>
      <c r="AA429" s="10" t="s">
        <v>1523</v>
      </c>
      <c r="AB429" s="10" t="s">
        <v>1524</v>
      </c>
      <c r="AC429" s="2"/>
    </row>
    <row r="430" spans="1:29" x14ac:dyDescent="0.3">
      <c r="A430" s="10">
        <v>160</v>
      </c>
      <c r="B430" s="2"/>
      <c r="C430" s="2">
        <v>1</v>
      </c>
      <c r="D430" s="10"/>
      <c r="E430" s="40">
        <v>45000</v>
      </c>
      <c r="F430" s="11">
        <f t="shared" si="109"/>
        <v>0</v>
      </c>
      <c r="G430" s="10"/>
      <c r="H430" s="11">
        <f t="shared" si="110"/>
        <v>0</v>
      </c>
      <c r="I430" s="67">
        <v>294</v>
      </c>
      <c r="J430" s="10" t="s">
        <v>215</v>
      </c>
      <c r="K430" s="10"/>
      <c r="L430" s="10"/>
      <c r="M430" s="10"/>
      <c r="N430" s="12" t="s">
        <v>1525</v>
      </c>
      <c r="O430" s="10"/>
      <c r="P430" s="58">
        <v>72000</v>
      </c>
      <c r="Q430" s="13">
        <f t="shared" si="115"/>
        <v>0.6</v>
      </c>
      <c r="R430" s="11">
        <f t="shared" si="116"/>
        <v>0</v>
      </c>
      <c r="S430" s="10"/>
      <c r="T430" s="58">
        <f t="shared" si="121"/>
        <v>81000</v>
      </c>
      <c r="U430" s="13">
        <f t="shared" si="117"/>
        <v>0.8</v>
      </c>
      <c r="V430" s="11">
        <f t="shared" si="118"/>
        <v>0</v>
      </c>
      <c r="W430" s="10"/>
      <c r="X430" s="58">
        <f t="shared" si="122"/>
        <v>92249.999999999985</v>
      </c>
      <c r="Y430" s="13">
        <f t="shared" si="119"/>
        <v>1.0499999999999996</v>
      </c>
      <c r="Z430" s="11">
        <f t="shared" si="120"/>
        <v>0</v>
      </c>
      <c r="AA430" s="10" t="s">
        <v>1526</v>
      </c>
      <c r="AB430" s="10" t="s">
        <v>1527</v>
      </c>
      <c r="AC430" s="2"/>
    </row>
    <row r="431" spans="1:29" x14ac:dyDescent="0.3">
      <c r="A431" s="10">
        <v>236</v>
      </c>
      <c r="B431" s="2"/>
      <c r="C431" s="2">
        <v>1</v>
      </c>
      <c r="D431" s="10"/>
      <c r="E431" s="40">
        <v>5700</v>
      </c>
      <c r="F431" s="11">
        <f t="shared" si="109"/>
        <v>0</v>
      </c>
      <c r="G431" s="10"/>
      <c r="H431" s="11">
        <f t="shared" si="110"/>
        <v>0</v>
      </c>
      <c r="I431" s="66">
        <v>295</v>
      </c>
      <c r="J431" s="10" t="s">
        <v>397</v>
      </c>
      <c r="K431" s="10"/>
      <c r="L431" s="10"/>
      <c r="M431" s="10"/>
      <c r="N431" s="12" t="s">
        <v>1528</v>
      </c>
      <c r="O431" s="10"/>
      <c r="P431" s="58">
        <v>9100</v>
      </c>
      <c r="Q431" s="13">
        <f t="shared" si="115"/>
        <v>0.59649122807017541</v>
      </c>
      <c r="R431" s="11">
        <f t="shared" si="116"/>
        <v>0</v>
      </c>
      <c r="S431" s="10"/>
      <c r="T431" s="58">
        <f t="shared" si="121"/>
        <v>10260</v>
      </c>
      <c r="U431" s="13">
        <f t="shared" si="117"/>
        <v>0.8</v>
      </c>
      <c r="V431" s="11">
        <f t="shared" si="118"/>
        <v>0</v>
      </c>
      <c r="W431" s="10"/>
      <c r="X431" s="58">
        <f t="shared" si="122"/>
        <v>11684.999999999998</v>
      </c>
      <c r="Y431" s="13">
        <f t="shared" si="119"/>
        <v>1.0499999999999996</v>
      </c>
      <c r="Z431" s="11">
        <f t="shared" si="120"/>
        <v>0</v>
      </c>
      <c r="AA431" s="10" t="s">
        <v>1529</v>
      </c>
      <c r="AB431" s="10" t="s">
        <v>1530</v>
      </c>
      <c r="AC431" s="2" t="s">
        <v>1531</v>
      </c>
    </row>
    <row r="432" spans="1:29" x14ac:dyDescent="0.3">
      <c r="A432" s="10">
        <v>237</v>
      </c>
      <c r="B432" s="2"/>
      <c r="C432" s="2">
        <v>1</v>
      </c>
      <c r="D432" s="10"/>
      <c r="E432" s="40">
        <v>6699</v>
      </c>
      <c r="F432" s="11">
        <f t="shared" si="109"/>
        <v>0</v>
      </c>
      <c r="G432" s="10"/>
      <c r="H432" s="11">
        <f t="shared" si="110"/>
        <v>0</v>
      </c>
      <c r="I432" s="67">
        <v>296</v>
      </c>
      <c r="J432" s="10" t="s">
        <v>397</v>
      </c>
      <c r="K432" s="10"/>
      <c r="L432" s="10"/>
      <c r="M432" s="10"/>
      <c r="N432" s="12" t="s">
        <v>1532</v>
      </c>
      <c r="O432" s="10"/>
      <c r="P432" s="58">
        <v>10700</v>
      </c>
      <c r="Q432" s="13">
        <f t="shared" si="115"/>
        <v>0.59725332139125242</v>
      </c>
      <c r="R432" s="11">
        <f t="shared" si="116"/>
        <v>0</v>
      </c>
      <c r="S432" s="10"/>
      <c r="T432" s="58">
        <f t="shared" si="121"/>
        <v>12058.2</v>
      </c>
      <c r="U432" s="13">
        <f t="shared" si="117"/>
        <v>0.80000000000000016</v>
      </c>
      <c r="V432" s="11">
        <f t="shared" si="118"/>
        <v>0</v>
      </c>
      <c r="W432" s="10"/>
      <c r="X432" s="58">
        <f t="shared" si="122"/>
        <v>13732.949999999999</v>
      </c>
      <c r="Y432" s="13">
        <f t="shared" si="119"/>
        <v>1.0499999999999998</v>
      </c>
      <c r="Z432" s="11">
        <f t="shared" si="120"/>
        <v>0</v>
      </c>
      <c r="AA432" s="10" t="s">
        <v>1533</v>
      </c>
      <c r="AB432" s="10" t="s">
        <v>1534</v>
      </c>
      <c r="AC432" s="2" t="s">
        <v>1535</v>
      </c>
    </row>
    <row r="433" spans="1:29" x14ac:dyDescent="0.3">
      <c r="A433" s="10">
        <v>238</v>
      </c>
      <c r="B433" s="2"/>
      <c r="C433" s="2">
        <v>1</v>
      </c>
      <c r="D433" s="10"/>
      <c r="E433" s="40">
        <v>8299</v>
      </c>
      <c r="F433" s="11">
        <f t="shared" si="109"/>
        <v>0</v>
      </c>
      <c r="G433" s="10"/>
      <c r="H433" s="11">
        <f t="shared" si="110"/>
        <v>0</v>
      </c>
      <c r="I433" s="66">
        <v>297</v>
      </c>
      <c r="J433" s="10" t="s">
        <v>397</v>
      </c>
      <c r="K433" s="10"/>
      <c r="L433" s="10"/>
      <c r="M433" s="10"/>
      <c r="N433" s="12" t="s">
        <v>1536</v>
      </c>
      <c r="O433" s="10"/>
      <c r="P433" s="58">
        <v>13200</v>
      </c>
      <c r="Q433" s="13">
        <f t="shared" si="115"/>
        <v>0.59055307868417883</v>
      </c>
      <c r="R433" s="11">
        <f t="shared" si="116"/>
        <v>0</v>
      </c>
      <c r="S433" s="10"/>
      <c r="T433" s="58">
        <f t="shared" si="121"/>
        <v>14938.2</v>
      </c>
      <c r="U433" s="13">
        <f t="shared" si="117"/>
        <v>0.8</v>
      </c>
      <c r="V433" s="11">
        <f t="shared" si="118"/>
        <v>0</v>
      </c>
      <c r="W433" s="10"/>
      <c r="X433" s="58">
        <f t="shared" si="122"/>
        <v>17012.949999999997</v>
      </c>
      <c r="Y433" s="13">
        <f t="shared" si="119"/>
        <v>1.0499999999999996</v>
      </c>
      <c r="Z433" s="11">
        <f t="shared" si="120"/>
        <v>0</v>
      </c>
      <c r="AA433" s="10" t="s">
        <v>1537</v>
      </c>
      <c r="AB433" s="10" t="s">
        <v>1538</v>
      </c>
      <c r="AC433" s="2" t="s">
        <v>1539</v>
      </c>
    </row>
    <row r="434" spans="1:29" x14ac:dyDescent="0.3">
      <c r="A434" s="10">
        <v>240</v>
      </c>
      <c r="B434" s="2"/>
      <c r="C434" s="2">
        <v>1</v>
      </c>
      <c r="D434" s="10"/>
      <c r="E434" s="40">
        <v>41000</v>
      </c>
      <c r="F434" s="11">
        <f t="shared" si="109"/>
        <v>0</v>
      </c>
      <c r="G434" s="10"/>
      <c r="H434" s="11">
        <f t="shared" si="110"/>
        <v>0</v>
      </c>
      <c r="I434" s="67">
        <v>298</v>
      </c>
      <c r="J434" s="10" t="s">
        <v>397</v>
      </c>
      <c r="K434" s="10"/>
      <c r="L434" s="10"/>
      <c r="M434" s="10"/>
      <c r="N434" s="12" t="s">
        <v>1544</v>
      </c>
      <c r="O434" s="10"/>
      <c r="P434" s="58">
        <v>65600</v>
      </c>
      <c r="Q434" s="13">
        <f t="shared" si="115"/>
        <v>0.6</v>
      </c>
      <c r="R434" s="11">
        <f t="shared" si="116"/>
        <v>0</v>
      </c>
      <c r="S434" s="10"/>
      <c r="T434" s="58">
        <f t="shared" si="121"/>
        <v>73800</v>
      </c>
      <c r="U434" s="13">
        <f t="shared" si="117"/>
        <v>0.8</v>
      </c>
      <c r="V434" s="11">
        <f t="shared" si="118"/>
        <v>0</v>
      </c>
      <c r="W434" s="10"/>
      <c r="X434" s="58">
        <f t="shared" si="122"/>
        <v>84049.999999999985</v>
      </c>
      <c r="Y434" s="13">
        <f t="shared" si="119"/>
        <v>1.0499999999999996</v>
      </c>
      <c r="Z434" s="11">
        <f t="shared" si="120"/>
        <v>0</v>
      </c>
      <c r="AA434" s="10" t="s">
        <v>1545</v>
      </c>
      <c r="AB434" s="10" t="s">
        <v>1546</v>
      </c>
      <c r="AC434" s="2" t="s">
        <v>1547</v>
      </c>
    </row>
    <row r="435" spans="1:29" x14ac:dyDescent="0.3">
      <c r="A435" s="10">
        <v>241</v>
      </c>
      <c r="B435" s="2"/>
      <c r="C435" s="2">
        <v>1</v>
      </c>
      <c r="D435" s="10"/>
      <c r="E435" s="40">
        <v>49000</v>
      </c>
      <c r="F435" s="11">
        <f t="shared" si="109"/>
        <v>0</v>
      </c>
      <c r="G435" s="10"/>
      <c r="H435" s="11">
        <f t="shared" si="110"/>
        <v>0</v>
      </c>
      <c r="I435" s="66">
        <v>299</v>
      </c>
      <c r="J435" s="10" t="s">
        <v>397</v>
      </c>
      <c r="K435" s="10"/>
      <c r="L435" s="10"/>
      <c r="M435" s="10"/>
      <c r="N435" s="12" t="s">
        <v>1548</v>
      </c>
      <c r="O435" s="10"/>
      <c r="P435" s="58">
        <v>78400</v>
      </c>
      <c r="Q435" s="13">
        <f t="shared" si="115"/>
        <v>0.6</v>
      </c>
      <c r="R435" s="11">
        <f t="shared" si="116"/>
        <v>0</v>
      </c>
      <c r="S435" s="10"/>
      <c r="T435" s="58">
        <f t="shared" si="121"/>
        <v>88200</v>
      </c>
      <c r="U435" s="13">
        <f t="shared" si="117"/>
        <v>0.8</v>
      </c>
      <c r="V435" s="11">
        <f t="shared" si="118"/>
        <v>0</v>
      </c>
      <c r="W435" s="10"/>
      <c r="X435" s="58">
        <f t="shared" si="122"/>
        <v>100449.99999999999</v>
      </c>
      <c r="Y435" s="13">
        <f t="shared" si="119"/>
        <v>1.0499999999999996</v>
      </c>
      <c r="Z435" s="11">
        <f t="shared" si="120"/>
        <v>0</v>
      </c>
      <c r="AA435" s="10" t="s">
        <v>1549</v>
      </c>
      <c r="AB435" s="10" t="s">
        <v>1550</v>
      </c>
      <c r="AC435" s="2" t="s">
        <v>1551</v>
      </c>
    </row>
    <row r="436" spans="1:29" x14ac:dyDescent="0.3">
      <c r="A436" s="10">
        <v>242</v>
      </c>
      <c r="B436" s="2"/>
      <c r="C436" s="2">
        <v>1</v>
      </c>
      <c r="D436" s="10"/>
      <c r="E436" s="40">
        <v>27499</v>
      </c>
      <c r="F436" s="11">
        <f t="shared" si="109"/>
        <v>0</v>
      </c>
      <c r="G436" s="10"/>
      <c r="H436" s="11">
        <f t="shared" si="110"/>
        <v>0</v>
      </c>
      <c r="I436" s="67">
        <v>300</v>
      </c>
      <c r="J436" s="10" t="s">
        <v>397</v>
      </c>
      <c r="K436" s="10"/>
      <c r="L436" s="10"/>
      <c r="M436" s="10"/>
      <c r="N436" s="12" t="s">
        <v>1552</v>
      </c>
      <c r="O436" s="10"/>
      <c r="P436" s="58">
        <v>43900</v>
      </c>
      <c r="Q436" s="13">
        <f t="shared" si="115"/>
        <v>0.59642168806138407</v>
      </c>
      <c r="R436" s="11">
        <f t="shared" si="116"/>
        <v>0</v>
      </c>
      <c r="S436" s="10"/>
      <c r="T436" s="58">
        <f t="shared" si="121"/>
        <v>49498.200000000004</v>
      </c>
      <c r="U436" s="13">
        <f t="shared" si="117"/>
        <v>0.80000000000000016</v>
      </c>
      <c r="V436" s="11">
        <f t="shared" si="118"/>
        <v>0</v>
      </c>
      <c r="W436" s="10"/>
      <c r="X436" s="58">
        <f t="shared" si="122"/>
        <v>56372.95</v>
      </c>
      <c r="Y436" s="13">
        <f t="shared" si="119"/>
        <v>1.0499999999999998</v>
      </c>
      <c r="Z436" s="11">
        <f t="shared" si="120"/>
        <v>0</v>
      </c>
      <c r="AA436" s="10" t="s">
        <v>1553</v>
      </c>
      <c r="AB436" s="10" t="s">
        <v>1554</v>
      </c>
      <c r="AC436" s="2" t="s">
        <v>1555</v>
      </c>
    </row>
    <row r="437" spans="1:29" x14ac:dyDescent="0.3">
      <c r="A437" s="10">
        <v>243</v>
      </c>
      <c r="B437" s="2"/>
      <c r="C437" s="2">
        <v>1</v>
      </c>
      <c r="D437" s="10"/>
      <c r="E437" s="40">
        <v>34500</v>
      </c>
      <c r="F437" s="11">
        <f t="shared" si="109"/>
        <v>0</v>
      </c>
      <c r="G437" s="10"/>
      <c r="H437" s="11">
        <f t="shared" si="110"/>
        <v>0</v>
      </c>
      <c r="I437" s="66">
        <v>301</v>
      </c>
      <c r="J437" s="10" t="s">
        <v>397</v>
      </c>
      <c r="K437" s="10"/>
      <c r="L437" s="10"/>
      <c r="M437" s="10"/>
      <c r="N437" s="12" t="s">
        <v>1556</v>
      </c>
      <c r="O437" s="10"/>
      <c r="P437" s="58">
        <v>55200</v>
      </c>
      <c r="Q437" s="13">
        <f t="shared" si="115"/>
        <v>0.6</v>
      </c>
      <c r="R437" s="11">
        <f t="shared" si="116"/>
        <v>0</v>
      </c>
      <c r="S437" s="10"/>
      <c r="T437" s="58">
        <f t="shared" si="121"/>
        <v>62100</v>
      </c>
      <c r="U437" s="13">
        <f t="shared" si="117"/>
        <v>0.8</v>
      </c>
      <c r="V437" s="11">
        <f t="shared" si="118"/>
        <v>0</v>
      </c>
      <c r="W437" s="10"/>
      <c r="X437" s="58">
        <f t="shared" si="122"/>
        <v>70725</v>
      </c>
      <c r="Y437" s="13">
        <f t="shared" si="119"/>
        <v>1.05</v>
      </c>
      <c r="Z437" s="11">
        <f t="shared" si="120"/>
        <v>0</v>
      </c>
      <c r="AA437" s="10" t="s">
        <v>1557</v>
      </c>
      <c r="AB437" s="10" t="s">
        <v>1558</v>
      </c>
      <c r="AC437" s="2" t="s">
        <v>1559</v>
      </c>
    </row>
    <row r="438" spans="1:29" x14ac:dyDescent="0.3">
      <c r="A438" s="10">
        <v>244</v>
      </c>
      <c r="B438" s="2"/>
      <c r="C438" s="2">
        <v>1</v>
      </c>
      <c r="D438" s="10"/>
      <c r="E438" s="40">
        <v>37900</v>
      </c>
      <c r="F438" s="11">
        <f t="shared" si="109"/>
        <v>0</v>
      </c>
      <c r="G438" s="10"/>
      <c r="H438" s="11">
        <f t="shared" si="110"/>
        <v>0</v>
      </c>
      <c r="I438" s="67">
        <v>302</v>
      </c>
      <c r="J438" s="10" t="s">
        <v>397</v>
      </c>
      <c r="K438" s="10"/>
      <c r="L438" s="10"/>
      <c r="M438" s="10"/>
      <c r="N438" s="12" t="s">
        <v>1560</v>
      </c>
      <c r="O438" s="10"/>
      <c r="P438" s="58">
        <v>60600</v>
      </c>
      <c r="Q438" s="13">
        <f t="shared" si="115"/>
        <v>0.59894459102902375</v>
      </c>
      <c r="R438" s="11">
        <f t="shared" si="116"/>
        <v>0</v>
      </c>
      <c r="S438" s="10"/>
      <c r="T438" s="58">
        <f t="shared" si="121"/>
        <v>68220</v>
      </c>
      <c r="U438" s="13">
        <f t="shared" si="117"/>
        <v>0.8</v>
      </c>
      <c r="V438" s="11">
        <f t="shared" si="118"/>
        <v>0</v>
      </c>
      <c r="W438" s="10"/>
      <c r="X438" s="58">
        <f t="shared" si="122"/>
        <v>77695</v>
      </c>
      <c r="Y438" s="13">
        <f t="shared" si="119"/>
        <v>1.05</v>
      </c>
      <c r="Z438" s="11">
        <f t="shared" si="120"/>
        <v>0</v>
      </c>
      <c r="AA438" s="10" t="s">
        <v>1561</v>
      </c>
      <c r="AB438" s="10" t="s">
        <v>1562</v>
      </c>
      <c r="AC438" s="2" t="s">
        <v>1563</v>
      </c>
    </row>
    <row r="439" spans="1:29" x14ac:dyDescent="0.3">
      <c r="A439" s="10">
        <v>161</v>
      </c>
      <c r="B439" s="2"/>
      <c r="C439" s="2">
        <v>1</v>
      </c>
      <c r="D439" s="10"/>
      <c r="E439" s="40">
        <v>35000</v>
      </c>
      <c r="F439" s="11">
        <f t="shared" si="109"/>
        <v>0</v>
      </c>
      <c r="G439" s="10"/>
      <c r="H439" s="11">
        <f t="shared" si="110"/>
        <v>0</v>
      </c>
      <c r="I439" s="66">
        <v>303</v>
      </c>
      <c r="J439" s="10" t="s">
        <v>215</v>
      </c>
      <c r="K439" s="10"/>
      <c r="L439" s="10"/>
      <c r="M439" s="10"/>
      <c r="N439" s="12" t="s">
        <v>1564</v>
      </c>
      <c r="O439" s="10"/>
      <c r="P439" s="58">
        <v>56000</v>
      </c>
      <c r="Q439" s="13">
        <f t="shared" si="115"/>
        <v>0.6</v>
      </c>
      <c r="R439" s="11">
        <f t="shared" si="116"/>
        <v>0</v>
      </c>
      <c r="S439" s="10"/>
      <c r="T439" s="58">
        <f t="shared" si="121"/>
        <v>63000</v>
      </c>
      <c r="U439" s="13">
        <f t="shared" si="117"/>
        <v>0.8</v>
      </c>
      <c r="V439" s="11">
        <f t="shared" si="118"/>
        <v>0</v>
      </c>
      <c r="W439" s="10"/>
      <c r="X439" s="58">
        <f t="shared" si="122"/>
        <v>71750</v>
      </c>
      <c r="Y439" s="13">
        <f t="shared" si="119"/>
        <v>1.05</v>
      </c>
      <c r="Z439" s="11">
        <f t="shared" si="120"/>
        <v>0</v>
      </c>
      <c r="AA439" s="10" t="s">
        <v>1565</v>
      </c>
      <c r="AB439" s="10" t="s">
        <v>1566</v>
      </c>
      <c r="AC439" s="2" t="s">
        <v>1567</v>
      </c>
    </row>
    <row r="440" spans="1:29" x14ac:dyDescent="0.3">
      <c r="A440" s="10">
        <v>245</v>
      </c>
      <c r="B440" s="2"/>
      <c r="C440" s="2">
        <v>1</v>
      </c>
      <c r="D440" s="10"/>
      <c r="E440" s="40">
        <v>152000</v>
      </c>
      <c r="F440" s="11">
        <f t="shared" si="109"/>
        <v>0</v>
      </c>
      <c r="G440" s="10"/>
      <c r="H440" s="11">
        <f t="shared" si="110"/>
        <v>0</v>
      </c>
      <c r="I440" s="67">
        <v>304</v>
      </c>
      <c r="J440" s="10" t="s">
        <v>397</v>
      </c>
      <c r="K440" s="10"/>
      <c r="L440" s="10"/>
      <c r="M440" s="10"/>
      <c r="N440" s="12" t="s">
        <v>1568</v>
      </c>
      <c r="O440" s="10"/>
      <c r="P440" s="58">
        <v>243200</v>
      </c>
      <c r="Q440" s="13">
        <f t="shared" si="115"/>
        <v>0.6</v>
      </c>
      <c r="R440" s="11">
        <f t="shared" si="116"/>
        <v>0</v>
      </c>
      <c r="S440" s="10"/>
      <c r="T440" s="58">
        <f t="shared" si="121"/>
        <v>273600</v>
      </c>
      <c r="U440" s="13">
        <f t="shared" si="117"/>
        <v>0.8</v>
      </c>
      <c r="V440" s="11">
        <f t="shared" si="118"/>
        <v>0</v>
      </c>
      <c r="W440" s="10"/>
      <c r="X440" s="58">
        <f t="shared" si="122"/>
        <v>311600</v>
      </c>
      <c r="Y440" s="13">
        <f t="shared" si="119"/>
        <v>1.05</v>
      </c>
      <c r="Z440" s="11">
        <f t="shared" si="120"/>
        <v>0</v>
      </c>
      <c r="AA440" s="10" t="s">
        <v>1569</v>
      </c>
      <c r="AB440" s="10" t="s">
        <v>1570</v>
      </c>
      <c r="AC440" s="2" t="s">
        <v>1571</v>
      </c>
    </row>
    <row r="441" spans="1:29" x14ac:dyDescent="0.3">
      <c r="A441" s="10">
        <v>162</v>
      </c>
      <c r="B441" s="2"/>
      <c r="C441" s="2">
        <v>1</v>
      </c>
      <c r="D441" s="10"/>
      <c r="E441" s="40">
        <v>3700</v>
      </c>
      <c r="F441" s="11">
        <f t="shared" si="109"/>
        <v>0</v>
      </c>
      <c r="G441" s="10"/>
      <c r="H441" s="11">
        <f t="shared" si="110"/>
        <v>0</v>
      </c>
      <c r="I441" s="66">
        <v>305</v>
      </c>
      <c r="J441" s="10" t="s">
        <v>215</v>
      </c>
      <c r="K441" s="10"/>
      <c r="L441" s="10"/>
      <c r="M441" s="10"/>
      <c r="N441" s="12" t="s">
        <v>1572</v>
      </c>
      <c r="O441" s="10"/>
      <c r="P441" s="58">
        <v>5900</v>
      </c>
      <c r="Q441" s="13">
        <f t="shared" si="115"/>
        <v>0.59459459459459463</v>
      </c>
      <c r="R441" s="11">
        <f t="shared" si="116"/>
        <v>0</v>
      </c>
      <c r="S441" s="10"/>
      <c r="T441" s="58">
        <f t="shared" si="121"/>
        <v>6660</v>
      </c>
      <c r="U441" s="13">
        <f t="shared" si="117"/>
        <v>0.8</v>
      </c>
      <c r="V441" s="11">
        <f t="shared" si="118"/>
        <v>0</v>
      </c>
      <c r="W441" s="10"/>
      <c r="X441" s="58">
        <f t="shared" si="122"/>
        <v>7584.9999999999991</v>
      </c>
      <c r="Y441" s="13">
        <f t="shared" si="119"/>
        <v>1.0499999999999998</v>
      </c>
      <c r="Z441" s="11">
        <f t="shared" si="120"/>
        <v>0</v>
      </c>
      <c r="AA441" s="10" t="s">
        <v>1573</v>
      </c>
      <c r="AB441" s="10" t="s">
        <v>1574</v>
      </c>
      <c r="AC441" s="2" t="s">
        <v>1575</v>
      </c>
    </row>
    <row r="442" spans="1:29" x14ac:dyDescent="0.3">
      <c r="A442" s="10">
        <v>246</v>
      </c>
      <c r="B442" s="2"/>
      <c r="C442" s="2">
        <v>1</v>
      </c>
      <c r="D442" s="10"/>
      <c r="E442" s="40">
        <v>18000</v>
      </c>
      <c r="F442" s="11">
        <f t="shared" si="109"/>
        <v>0</v>
      </c>
      <c r="G442" s="10"/>
      <c r="H442" s="11">
        <f t="shared" si="110"/>
        <v>0</v>
      </c>
      <c r="I442" s="67">
        <v>306</v>
      </c>
      <c r="J442" s="10" t="s">
        <v>397</v>
      </c>
      <c r="K442" s="10"/>
      <c r="L442" s="10"/>
      <c r="M442" s="10"/>
      <c r="N442" s="12" t="s">
        <v>1576</v>
      </c>
      <c r="O442" s="10"/>
      <c r="P442" s="58">
        <v>28800</v>
      </c>
      <c r="Q442" s="13">
        <f t="shared" si="115"/>
        <v>0.6</v>
      </c>
      <c r="R442" s="11">
        <f t="shared" si="116"/>
        <v>0</v>
      </c>
      <c r="S442" s="10"/>
      <c r="T442" s="58">
        <f t="shared" si="121"/>
        <v>32400</v>
      </c>
      <c r="U442" s="13">
        <f t="shared" si="117"/>
        <v>0.8</v>
      </c>
      <c r="V442" s="11">
        <f t="shared" si="118"/>
        <v>0</v>
      </c>
      <c r="W442" s="10"/>
      <c r="X442" s="58">
        <f t="shared" si="122"/>
        <v>36900</v>
      </c>
      <c r="Y442" s="13">
        <f t="shared" si="119"/>
        <v>1.05</v>
      </c>
      <c r="Z442" s="11">
        <f t="shared" si="120"/>
        <v>0</v>
      </c>
      <c r="AA442" s="10" t="s">
        <v>1577</v>
      </c>
      <c r="AB442" s="10" t="s">
        <v>1578</v>
      </c>
      <c r="AC442" s="2" t="s">
        <v>1579</v>
      </c>
    </row>
    <row r="443" spans="1:29" x14ac:dyDescent="0.3">
      <c r="A443" s="10">
        <v>163</v>
      </c>
      <c r="B443" s="2"/>
      <c r="C443" s="2">
        <v>1</v>
      </c>
      <c r="D443" s="10"/>
      <c r="E443" s="40">
        <v>20800</v>
      </c>
      <c r="F443" s="11">
        <f t="shared" si="109"/>
        <v>0</v>
      </c>
      <c r="G443" s="10"/>
      <c r="H443" s="11">
        <f t="shared" si="110"/>
        <v>0</v>
      </c>
      <c r="I443" s="66">
        <v>307</v>
      </c>
      <c r="J443" s="10" t="s">
        <v>215</v>
      </c>
      <c r="K443" s="10"/>
      <c r="L443" s="10"/>
      <c r="M443" s="10"/>
      <c r="N443" s="12" t="s">
        <v>1580</v>
      </c>
      <c r="O443" s="10"/>
      <c r="P443" s="58">
        <v>33200</v>
      </c>
      <c r="Q443" s="13">
        <f t="shared" si="115"/>
        <v>0.59615384615384615</v>
      </c>
      <c r="R443" s="11">
        <f t="shared" si="116"/>
        <v>0</v>
      </c>
      <c r="S443" s="10"/>
      <c r="T443" s="58">
        <f t="shared" si="121"/>
        <v>37440</v>
      </c>
      <c r="U443" s="13">
        <f t="shared" si="117"/>
        <v>0.8</v>
      </c>
      <c r="V443" s="11">
        <f t="shared" si="118"/>
        <v>0</v>
      </c>
      <c r="W443" s="10"/>
      <c r="X443" s="58">
        <f t="shared" si="122"/>
        <v>42639.999999999993</v>
      </c>
      <c r="Y443" s="13">
        <f t="shared" si="119"/>
        <v>1.0499999999999996</v>
      </c>
      <c r="Z443" s="11">
        <f t="shared" si="120"/>
        <v>0</v>
      </c>
      <c r="AA443" s="10" t="s">
        <v>1581</v>
      </c>
      <c r="AB443" s="10" t="s">
        <v>1582</v>
      </c>
      <c r="AC443" s="2"/>
    </row>
    <row r="444" spans="1:29" x14ac:dyDescent="0.3">
      <c r="A444" s="10">
        <v>247</v>
      </c>
      <c r="B444" s="2"/>
      <c r="C444" s="2">
        <v>1</v>
      </c>
      <c r="D444" s="10"/>
      <c r="E444" s="40">
        <v>24000</v>
      </c>
      <c r="F444" s="11">
        <f t="shared" si="109"/>
        <v>0</v>
      </c>
      <c r="G444" s="10"/>
      <c r="H444" s="11">
        <f t="shared" si="110"/>
        <v>0</v>
      </c>
      <c r="I444" s="67">
        <v>308</v>
      </c>
      <c r="J444" s="10" t="s">
        <v>397</v>
      </c>
      <c r="K444" s="10"/>
      <c r="L444" s="10"/>
      <c r="M444" s="10"/>
      <c r="N444" s="12" t="s">
        <v>1583</v>
      </c>
      <c r="O444" s="10"/>
      <c r="P444" s="58">
        <v>38400</v>
      </c>
      <c r="Q444" s="13">
        <f t="shared" si="115"/>
        <v>0.6</v>
      </c>
      <c r="R444" s="11">
        <f t="shared" si="116"/>
        <v>0</v>
      </c>
      <c r="S444" s="10"/>
      <c r="T444" s="58">
        <f t="shared" si="121"/>
        <v>43200</v>
      </c>
      <c r="U444" s="13">
        <f t="shared" si="117"/>
        <v>0.8</v>
      </c>
      <c r="V444" s="11">
        <f t="shared" si="118"/>
        <v>0</v>
      </c>
      <c r="W444" s="10"/>
      <c r="X444" s="58">
        <f t="shared" si="122"/>
        <v>49199.999999999993</v>
      </c>
      <c r="Y444" s="13">
        <f t="shared" si="119"/>
        <v>1.0499999999999996</v>
      </c>
      <c r="Z444" s="11">
        <f t="shared" si="120"/>
        <v>0</v>
      </c>
      <c r="AA444" s="10" t="s">
        <v>1584</v>
      </c>
      <c r="AB444" s="10" t="s">
        <v>1585</v>
      </c>
      <c r="AC444" s="2" t="s">
        <v>1586</v>
      </c>
    </row>
    <row r="445" spans="1:29" x14ac:dyDescent="0.3">
      <c r="A445" s="10">
        <v>248</v>
      </c>
      <c r="B445" s="2"/>
      <c r="C445" s="2">
        <v>1</v>
      </c>
      <c r="D445" s="10"/>
      <c r="E445" s="40">
        <v>3500</v>
      </c>
      <c r="F445" s="11">
        <f t="shared" si="109"/>
        <v>0</v>
      </c>
      <c r="G445" s="10"/>
      <c r="H445" s="11">
        <f t="shared" si="110"/>
        <v>0</v>
      </c>
      <c r="I445" s="66">
        <v>309</v>
      </c>
      <c r="J445" s="10" t="s">
        <v>397</v>
      </c>
      <c r="K445" s="10"/>
      <c r="L445" s="10"/>
      <c r="M445" s="10"/>
      <c r="N445" s="12" t="s">
        <v>1587</v>
      </c>
      <c r="O445" s="10"/>
      <c r="P445" s="58">
        <v>5600</v>
      </c>
      <c r="Q445" s="13">
        <f t="shared" si="115"/>
        <v>0.6</v>
      </c>
      <c r="R445" s="11">
        <f t="shared" si="116"/>
        <v>0</v>
      </c>
      <c r="S445" s="10"/>
      <c r="T445" s="58">
        <f t="shared" si="121"/>
        <v>6300</v>
      </c>
      <c r="U445" s="13">
        <f t="shared" si="117"/>
        <v>0.8</v>
      </c>
      <c r="V445" s="11">
        <f t="shared" si="118"/>
        <v>0</v>
      </c>
      <c r="W445" s="10"/>
      <c r="X445" s="58">
        <f t="shared" si="122"/>
        <v>7174.9999999999991</v>
      </c>
      <c r="Y445" s="13">
        <f t="shared" si="119"/>
        <v>1.0499999999999998</v>
      </c>
      <c r="Z445" s="11">
        <f t="shared" si="120"/>
        <v>0</v>
      </c>
      <c r="AA445" s="10" t="s">
        <v>1588</v>
      </c>
      <c r="AB445" s="10" t="s">
        <v>1589</v>
      </c>
      <c r="AC445" s="2"/>
    </row>
    <row r="446" spans="1:29" x14ac:dyDescent="0.3">
      <c r="A446" s="10">
        <v>164</v>
      </c>
      <c r="B446" s="2"/>
      <c r="C446" s="2">
        <v>1</v>
      </c>
      <c r="D446" s="10"/>
      <c r="E446" s="40">
        <v>18000</v>
      </c>
      <c r="F446" s="11">
        <f t="shared" si="109"/>
        <v>0</v>
      </c>
      <c r="G446" s="10"/>
      <c r="H446" s="11">
        <f t="shared" si="110"/>
        <v>0</v>
      </c>
      <c r="I446" s="67">
        <v>310</v>
      </c>
      <c r="J446" s="10" t="s">
        <v>215</v>
      </c>
      <c r="K446" s="10"/>
      <c r="L446" s="10"/>
      <c r="M446" s="10"/>
      <c r="N446" s="12" t="s">
        <v>1590</v>
      </c>
      <c r="O446" s="10"/>
      <c r="P446" s="58">
        <v>28800</v>
      </c>
      <c r="Q446" s="13">
        <f t="shared" si="115"/>
        <v>0.6</v>
      </c>
      <c r="R446" s="11">
        <f t="shared" si="116"/>
        <v>0</v>
      </c>
      <c r="S446" s="10"/>
      <c r="T446" s="58">
        <f t="shared" si="121"/>
        <v>32400</v>
      </c>
      <c r="U446" s="13">
        <f t="shared" si="117"/>
        <v>0.8</v>
      </c>
      <c r="V446" s="11">
        <f t="shared" si="118"/>
        <v>0</v>
      </c>
      <c r="W446" s="10"/>
      <c r="X446" s="58">
        <f t="shared" si="122"/>
        <v>36900</v>
      </c>
      <c r="Y446" s="13">
        <f t="shared" si="119"/>
        <v>1.05</v>
      </c>
      <c r="Z446" s="11">
        <f t="shared" si="120"/>
        <v>0</v>
      </c>
      <c r="AA446" s="10" t="s">
        <v>1591</v>
      </c>
      <c r="AB446" s="10" t="s">
        <v>1592</v>
      </c>
      <c r="AC446" s="2"/>
    </row>
    <row r="447" spans="1:29" x14ac:dyDescent="0.3">
      <c r="A447" s="10">
        <v>165</v>
      </c>
      <c r="B447" s="2"/>
      <c r="C447" s="2">
        <v>1</v>
      </c>
      <c r="D447" s="10"/>
      <c r="E447" s="40">
        <v>6900</v>
      </c>
      <c r="F447" s="11">
        <f t="shared" si="109"/>
        <v>0</v>
      </c>
      <c r="G447" s="10"/>
      <c r="H447" s="11">
        <f t="shared" si="110"/>
        <v>0</v>
      </c>
      <c r="I447" s="66">
        <v>311</v>
      </c>
      <c r="J447" s="10" t="s">
        <v>215</v>
      </c>
      <c r="K447" s="10"/>
      <c r="L447" s="10"/>
      <c r="M447" s="10"/>
      <c r="N447" s="12" t="s">
        <v>1593</v>
      </c>
      <c r="O447" s="10"/>
      <c r="P447" s="58">
        <v>11000</v>
      </c>
      <c r="Q447" s="13">
        <f t="shared" si="115"/>
        <v>0.59420289855072461</v>
      </c>
      <c r="R447" s="11">
        <f t="shared" si="116"/>
        <v>0</v>
      </c>
      <c r="S447" s="10"/>
      <c r="T447" s="58">
        <f t="shared" si="121"/>
        <v>12420</v>
      </c>
      <c r="U447" s="13">
        <f t="shared" si="117"/>
        <v>0.8</v>
      </c>
      <c r="V447" s="11">
        <f t="shared" si="118"/>
        <v>0</v>
      </c>
      <c r="W447" s="10"/>
      <c r="X447" s="58">
        <f t="shared" si="122"/>
        <v>14144.999999999998</v>
      </c>
      <c r="Y447" s="13">
        <f t="shared" si="119"/>
        <v>1.0499999999999998</v>
      </c>
      <c r="Z447" s="11">
        <f t="shared" si="120"/>
        <v>0</v>
      </c>
      <c r="AA447" s="10" t="s">
        <v>1594</v>
      </c>
      <c r="AB447" s="10" t="s">
        <v>1595</v>
      </c>
      <c r="AC447" s="2"/>
    </row>
    <row r="448" spans="1:29" x14ac:dyDescent="0.3">
      <c r="A448" s="10">
        <v>166</v>
      </c>
      <c r="B448" s="2"/>
      <c r="C448" s="2">
        <v>1</v>
      </c>
      <c r="D448" s="10"/>
      <c r="E448" s="40">
        <v>34000</v>
      </c>
      <c r="F448" s="11">
        <f t="shared" si="109"/>
        <v>0</v>
      </c>
      <c r="G448" s="10"/>
      <c r="H448" s="11">
        <f t="shared" si="110"/>
        <v>0</v>
      </c>
      <c r="I448" s="67">
        <v>312</v>
      </c>
      <c r="J448" s="10" t="s">
        <v>215</v>
      </c>
      <c r="K448" s="10"/>
      <c r="L448" s="10"/>
      <c r="M448" s="10"/>
      <c r="N448" s="12" t="s">
        <v>1596</v>
      </c>
      <c r="O448" s="10"/>
      <c r="P448" s="58">
        <v>54400</v>
      </c>
      <c r="Q448" s="13">
        <f t="shared" si="115"/>
        <v>0.6</v>
      </c>
      <c r="R448" s="11">
        <f t="shared" si="116"/>
        <v>0</v>
      </c>
      <c r="S448" s="10"/>
      <c r="T448" s="58">
        <f t="shared" si="121"/>
        <v>61200</v>
      </c>
      <c r="U448" s="13">
        <f t="shared" si="117"/>
        <v>0.8</v>
      </c>
      <c r="V448" s="11">
        <f t="shared" si="118"/>
        <v>0</v>
      </c>
      <c r="W448" s="10"/>
      <c r="X448" s="58">
        <f t="shared" si="122"/>
        <v>69700</v>
      </c>
      <c r="Y448" s="13">
        <f t="shared" si="119"/>
        <v>1.05</v>
      </c>
      <c r="Z448" s="11">
        <f t="shared" si="120"/>
        <v>0</v>
      </c>
      <c r="AA448" s="10" t="s">
        <v>1597</v>
      </c>
      <c r="AB448" s="10" t="s">
        <v>1598</v>
      </c>
      <c r="AC448" s="2"/>
    </row>
    <row r="449" spans="1:29" x14ac:dyDescent="0.3">
      <c r="A449" s="10">
        <v>167</v>
      </c>
      <c r="B449" s="2"/>
      <c r="C449" s="2">
        <v>1</v>
      </c>
      <c r="D449" s="10"/>
      <c r="E449" s="40">
        <v>37900</v>
      </c>
      <c r="F449" s="11">
        <f t="shared" si="109"/>
        <v>0</v>
      </c>
      <c r="G449" s="10"/>
      <c r="H449" s="11">
        <f t="shared" si="110"/>
        <v>0</v>
      </c>
      <c r="I449" s="66">
        <v>313</v>
      </c>
      <c r="J449" s="10" t="s">
        <v>215</v>
      </c>
      <c r="K449" s="10"/>
      <c r="L449" s="10"/>
      <c r="M449" s="10"/>
      <c r="N449" s="12" t="s">
        <v>1599</v>
      </c>
      <c r="O449" s="10"/>
      <c r="P449" s="58">
        <v>60600</v>
      </c>
      <c r="Q449" s="13">
        <f t="shared" si="115"/>
        <v>0.59894459102902375</v>
      </c>
      <c r="R449" s="11">
        <f t="shared" si="116"/>
        <v>0</v>
      </c>
      <c r="S449" s="10"/>
      <c r="T449" s="58">
        <f t="shared" si="121"/>
        <v>68220</v>
      </c>
      <c r="U449" s="13">
        <f t="shared" si="117"/>
        <v>0.8</v>
      </c>
      <c r="V449" s="11">
        <f t="shared" si="118"/>
        <v>0</v>
      </c>
      <c r="W449" s="10"/>
      <c r="X449" s="58">
        <f t="shared" si="122"/>
        <v>77695</v>
      </c>
      <c r="Y449" s="13">
        <f t="shared" si="119"/>
        <v>1.05</v>
      </c>
      <c r="Z449" s="11">
        <f t="shared" si="120"/>
        <v>0</v>
      </c>
      <c r="AA449" s="10" t="s">
        <v>1600</v>
      </c>
      <c r="AB449" s="10" t="s">
        <v>1601</v>
      </c>
      <c r="AC449" s="2" t="s">
        <v>1602</v>
      </c>
    </row>
    <row r="450" spans="1:29" x14ac:dyDescent="0.3">
      <c r="A450" s="37">
        <v>544</v>
      </c>
      <c r="B450" s="37"/>
      <c r="C450" s="37">
        <v>5</v>
      </c>
      <c r="D450" s="37"/>
      <c r="E450" s="44">
        <v>42000</v>
      </c>
      <c r="F450" s="38">
        <f t="shared" si="109"/>
        <v>0</v>
      </c>
      <c r="G450" s="37"/>
      <c r="H450" s="38">
        <f t="shared" si="110"/>
        <v>0</v>
      </c>
      <c r="I450" s="67">
        <v>314</v>
      </c>
      <c r="J450" s="37" t="s">
        <v>397</v>
      </c>
      <c r="K450" s="37" t="s">
        <v>1960</v>
      </c>
      <c r="L450" s="37"/>
      <c r="M450" s="37"/>
      <c r="N450" s="36" t="s">
        <v>1714</v>
      </c>
      <c r="O450" s="37"/>
      <c r="P450" s="44">
        <v>67200</v>
      </c>
      <c r="Q450" s="45">
        <f t="shared" si="115"/>
        <v>0.6</v>
      </c>
      <c r="R450" s="46">
        <f t="shared" si="116"/>
        <v>0</v>
      </c>
      <c r="S450" s="37"/>
      <c r="T450" s="44">
        <f t="shared" si="121"/>
        <v>75600</v>
      </c>
      <c r="U450" s="45">
        <f t="shared" si="117"/>
        <v>0.8</v>
      </c>
      <c r="V450" s="38">
        <f t="shared" si="118"/>
        <v>0</v>
      </c>
      <c r="W450" s="37"/>
      <c r="X450" s="44">
        <f t="shared" si="122"/>
        <v>86099.999999999985</v>
      </c>
      <c r="Y450" s="45">
        <f t="shared" si="119"/>
        <v>1.0499999999999996</v>
      </c>
      <c r="Z450" s="38">
        <f t="shared" si="120"/>
        <v>0</v>
      </c>
      <c r="AA450" s="37" t="s">
        <v>1715</v>
      </c>
      <c r="AB450" s="37" t="s">
        <v>1716</v>
      </c>
      <c r="AC450" s="37"/>
    </row>
    <row r="451" spans="1:29" x14ac:dyDescent="0.3">
      <c r="A451" s="10">
        <v>256</v>
      </c>
      <c r="B451" s="2"/>
      <c r="C451" s="2">
        <v>1</v>
      </c>
      <c r="D451" s="10"/>
      <c r="E451" s="40">
        <v>95000</v>
      </c>
      <c r="F451" s="11">
        <f t="shared" si="109"/>
        <v>0</v>
      </c>
      <c r="G451" s="10"/>
      <c r="H451" s="11">
        <f t="shared" si="110"/>
        <v>0</v>
      </c>
      <c r="I451" s="66">
        <v>315</v>
      </c>
      <c r="J451" s="10" t="s">
        <v>397</v>
      </c>
      <c r="K451" s="10"/>
      <c r="L451" s="10"/>
      <c r="M451" s="10"/>
      <c r="N451" s="12" t="s">
        <v>1603</v>
      </c>
      <c r="O451" s="10"/>
      <c r="P451" s="58">
        <v>152000</v>
      </c>
      <c r="Q451" s="13">
        <f t="shared" si="115"/>
        <v>0.6</v>
      </c>
      <c r="R451" s="11">
        <f t="shared" si="116"/>
        <v>0</v>
      </c>
      <c r="S451" s="10"/>
      <c r="T451" s="58">
        <f t="shared" si="121"/>
        <v>171000</v>
      </c>
      <c r="U451" s="13">
        <f t="shared" si="117"/>
        <v>0.8</v>
      </c>
      <c r="V451" s="11">
        <f t="shared" si="118"/>
        <v>0</v>
      </c>
      <c r="W451" s="10"/>
      <c r="X451" s="58">
        <f t="shared" si="122"/>
        <v>194749.99999999997</v>
      </c>
      <c r="Y451" s="13">
        <f t="shared" si="119"/>
        <v>1.0499999999999996</v>
      </c>
      <c r="Z451" s="11">
        <f t="shared" si="120"/>
        <v>0</v>
      </c>
      <c r="AA451" s="10" t="s">
        <v>1604</v>
      </c>
      <c r="AB451" s="10" t="s">
        <v>1605</v>
      </c>
      <c r="AC451" s="2" t="s">
        <v>1606</v>
      </c>
    </row>
    <row r="452" spans="1:29" x14ac:dyDescent="0.3">
      <c r="A452" s="10">
        <v>257</v>
      </c>
      <c r="B452" s="2"/>
      <c r="C452" s="2">
        <v>1</v>
      </c>
      <c r="D452" s="10"/>
      <c r="E452" s="40">
        <v>23000</v>
      </c>
      <c r="F452" s="11">
        <f t="shared" si="109"/>
        <v>0</v>
      </c>
      <c r="G452" s="10"/>
      <c r="H452" s="11">
        <f t="shared" si="110"/>
        <v>0</v>
      </c>
      <c r="I452" s="67">
        <v>316</v>
      </c>
      <c r="J452" s="10" t="s">
        <v>397</v>
      </c>
      <c r="K452" s="10"/>
      <c r="L452" s="10"/>
      <c r="M452" s="10"/>
      <c r="N452" s="12" t="s">
        <v>1607</v>
      </c>
      <c r="O452" s="10"/>
      <c r="P452" s="58">
        <v>36800</v>
      </c>
      <c r="Q452" s="13">
        <f t="shared" si="115"/>
        <v>0.6</v>
      </c>
      <c r="R452" s="11">
        <f t="shared" si="116"/>
        <v>0</v>
      </c>
      <c r="S452" s="10"/>
      <c r="T452" s="58">
        <f t="shared" si="121"/>
        <v>41400</v>
      </c>
      <c r="U452" s="13">
        <f t="shared" si="117"/>
        <v>0.8</v>
      </c>
      <c r="V452" s="11">
        <f t="shared" si="118"/>
        <v>0</v>
      </c>
      <c r="W452" s="10"/>
      <c r="X452" s="58">
        <f t="shared" si="122"/>
        <v>47149.999999999993</v>
      </c>
      <c r="Y452" s="13">
        <f t="shared" si="119"/>
        <v>1.0499999999999996</v>
      </c>
      <c r="Z452" s="11">
        <f t="shared" si="120"/>
        <v>0</v>
      </c>
      <c r="AA452" s="10" t="s">
        <v>1608</v>
      </c>
      <c r="AB452" s="10" t="s">
        <v>1609</v>
      </c>
      <c r="AC452" s="2" t="s">
        <v>1610</v>
      </c>
    </row>
    <row r="453" spans="1:29" x14ac:dyDescent="0.3">
      <c r="A453" s="49">
        <v>51</v>
      </c>
      <c r="B453" s="49">
        <v>74</v>
      </c>
      <c r="C453" s="49">
        <v>4</v>
      </c>
      <c r="D453" s="49">
        <v>3</v>
      </c>
      <c r="E453" s="50">
        <v>12499</v>
      </c>
      <c r="F453" s="51">
        <f t="shared" si="109"/>
        <v>37497</v>
      </c>
      <c r="G453" s="49"/>
      <c r="H453" s="51">
        <f t="shared" si="110"/>
        <v>0</v>
      </c>
      <c r="I453" s="66">
        <v>317</v>
      </c>
      <c r="J453" s="51" t="s">
        <v>397</v>
      </c>
      <c r="K453" s="51"/>
      <c r="L453" s="51" t="s">
        <v>517</v>
      </c>
      <c r="M453" s="51"/>
      <c r="N453" s="52" t="s">
        <v>1709</v>
      </c>
      <c r="O453" s="49">
        <v>3</v>
      </c>
      <c r="P453" s="50">
        <v>20000</v>
      </c>
      <c r="Q453" s="53">
        <f t="shared" si="115"/>
        <v>0.6001280102408193</v>
      </c>
      <c r="R453" s="54">
        <f t="shared" si="116"/>
        <v>60000</v>
      </c>
      <c r="S453" s="49"/>
      <c r="T453" s="50">
        <v>22000</v>
      </c>
      <c r="U453" s="53">
        <f t="shared" si="117"/>
        <v>0.76014081126490118</v>
      </c>
      <c r="V453" s="51">
        <f t="shared" si="118"/>
        <v>0</v>
      </c>
      <c r="W453" s="49"/>
      <c r="X453" s="50">
        <v>25000</v>
      </c>
      <c r="Y453" s="53">
        <f t="shared" si="119"/>
        <v>1.0001600128010242</v>
      </c>
      <c r="Z453" s="51">
        <f t="shared" si="120"/>
        <v>0</v>
      </c>
      <c r="AA453" s="49" t="s">
        <v>1710</v>
      </c>
      <c r="AB453" s="49"/>
      <c r="AC453" s="49"/>
    </row>
    <row r="454" spans="1:29" x14ac:dyDescent="0.3">
      <c r="A454" s="10">
        <v>258</v>
      </c>
      <c r="B454" s="2"/>
      <c r="C454" s="2">
        <v>1</v>
      </c>
      <c r="D454" s="10"/>
      <c r="E454" s="40">
        <v>25900</v>
      </c>
      <c r="F454" s="11">
        <f t="shared" si="109"/>
        <v>0</v>
      </c>
      <c r="G454" s="10"/>
      <c r="H454" s="11">
        <f t="shared" si="110"/>
        <v>0</v>
      </c>
      <c r="I454" s="67">
        <v>318</v>
      </c>
      <c r="J454" s="10" t="s">
        <v>397</v>
      </c>
      <c r="K454" s="10"/>
      <c r="L454" s="10"/>
      <c r="M454" s="10"/>
      <c r="N454" s="12" t="s">
        <v>1611</v>
      </c>
      <c r="O454" s="10"/>
      <c r="P454" s="58">
        <v>41400</v>
      </c>
      <c r="Q454" s="13">
        <f t="shared" si="115"/>
        <v>0.59845559845559848</v>
      </c>
      <c r="R454" s="11">
        <f t="shared" si="116"/>
        <v>0</v>
      </c>
      <c r="S454" s="10"/>
      <c r="T454" s="58">
        <f t="shared" ref="T454:T490" si="123">E454*1.8</f>
        <v>46620</v>
      </c>
      <c r="U454" s="13">
        <f t="shared" si="117"/>
        <v>0.8</v>
      </c>
      <c r="V454" s="11">
        <f t="shared" si="118"/>
        <v>0</v>
      </c>
      <c r="W454" s="10"/>
      <c r="X454" s="58">
        <f t="shared" ref="X454:X490" si="124">E454*2.05</f>
        <v>53094.999999999993</v>
      </c>
      <c r="Y454" s="13">
        <f t="shared" si="119"/>
        <v>1.0499999999999998</v>
      </c>
      <c r="Z454" s="11">
        <f t="shared" si="120"/>
        <v>0</v>
      </c>
      <c r="AA454" s="10" t="s">
        <v>1612</v>
      </c>
      <c r="AB454" s="10" t="s">
        <v>1613</v>
      </c>
      <c r="AC454" s="2" t="s">
        <v>1614</v>
      </c>
    </row>
    <row r="455" spans="1:29" x14ac:dyDescent="0.3">
      <c r="A455" s="10">
        <v>259</v>
      </c>
      <c r="B455" s="2"/>
      <c r="C455" s="2">
        <v>1</v>
      </c>
      <c r="D455" s="10"/>
      <c r="E455" s="40">
        <v>29900</v>
      </c>
      <c r="F455" s="11">
        <f t="shared" si="109"/>
        <v>0</v>
      </c>
      <c r="G455" s="10"/>
      <c r="H455" s="11">
        <f t="shared" si="110"/>
        <v>0</v>
      </c>
      <c r="I455" s="66">
        <v>319</v>
      </c>
      <c r="J455" s="10" t="s">
        <v>397</v>
      </c>
      <c r="K455" s="10"/>
      <c r="L455" s="10"/>
      <c r="M455" s="10"/>
      <c r="N455" s="12" t="s">
        <v>1615</v>
      </c>
      <c r="O455" s="10"/>
      <c r="P455" s="58">
        <v>47800</v>
      </c>
      <c r="Q455" s="13">
        <f t="shared" si="115"/>
        <v>0.59866220735785958</v>
      </c>
      <c r="R455" s="11">
        <f t="shared" si="116"/>
        <v>0</v>
      </c>
      <c r="S455" s="10"/>
      <c r="T455" s="58">
        <f t="shared" si="123"/>
        <v>53820</v>
      </c>
      <c r="U455" s="13">
        <f t="shared" si="117"/>
        <v>0.8</v>
      </c>
      <c r="V455" s="11">
        <f t="shared" si="118"/>
        <v>0</v>
      </c>
      <c r="W455" s="10"/>
      <c r="X455" s="58">
        <f t="shared" si="124"/>
        <v>61294.999999999993</v>
      </c>
      <c r="Y455" s="13">
        <f t="shared" si="119"/>
        <v>1.0499999999999998</v>
      </c>
      <c r="Z455" s="11">
        <f t="shared" si="120"/>
        <v>0</v>
      </c>
      <c r="AA455" s="10" t="s">
        <v>1616</v>
      </c>
      <c r="AB455" s="10" t="s">
        <v>1617</v>
      </c>
      <c r="AC455" s="2" t="s">
        <v>1618</v>
      </c>
    </row>
    <row r="456" spans="1:29" x14ac:dyDescent="0.3">
      <c r="A456" s="10">
        <v>169</v>
      </c>
      <c r="B456" s="2"/>
      <c r="C456" s="2">
        <v>1</v>
      </c>
      <c r="D456" s="10"/>
      <c r="E456" s="40">
        <v>36000</v>
      </c>
      <c r="F456" s="11">
        <f t="shared" si="109"/>
        <v>0</v>
      </c>
      <c r="G456" s="10"/>
      <c r="H456" s="11">
        <f t="shared" si="110"/>
        <v>0</v>
      </c>
      <c r="I456" s="67">
        <v>320</v>
      </c>
      <c r="J456" s="10" t="s">
        <v>215</v>
      </c>
      <c r="K456" s="10"/>
      <c r="L456" s="10"/>
      <c r="M456" s="10"/>
      <c r="N456" s="12" t="s">
        <v>1619</v>
      </c>
      <c r="O456" s="10"/>
      <c r="P456" s="58">
        <v>57600</v>
      </c>
      <c r="Q456" s="13">
        <f t="shared" si="115"/>
        <v>0.6</v>
      </c>
      <c r="R456" s="11">
        <f t="shared" si="116"/>
        <v>0</v>
      </c>
      <c r="S456" s="10"/>
      <c r="T456" s="58">
        <f t="shared" si="123"/>
        <v>64800</v>
      </c>
      <c r="U456" s="13">
        <f t="shared" si="117"/>
        <v>0.8</v>
      </c>
      <c r="V456" s="11">
        <f t="shared" si="118"/>
        <v>0</v>
      </c>
      <c r="W456" s="10"/>
      <c r="X456" s="58">
        <f t="shared" si="124"/>
        <v>73800</v>
      </c>
      <c r="Y456" s="13">
        <f t="shared" si="119"/>
        <v>1.05</v>
      </c>
      <c r="Z456" s="11">
        <f t="shared" si="120"/>
        <v>0</v>
      </c>
      <c r="AA456" s="10" t="s">
        <v>1620</v>
      </c>
      <c r="AB456" s="10" t="s">
        <v>1621</v>
      </c>
      <c r="AC456" s="2" t="s">
        <v>1622</v>
      </c>
    </row>
    <row r="457" spans="1:29" x14ac:dyDescent="0.3">
      <c r="A457" s="10">
        <v>170</v>
      </c>
      <c r="B457" s="2"/>
      <c r="C457" s="2">
        <v>1</v>
      </c>
      <c r="D457" s="10"/>
      <c r="E457" s="40">
        <v>14900</v>
      </c>
      <c r="F457" s="11">
        <f t="shared" ref="F457:F520" si="125">D457*E457</f>
        <v>0</v>
      </c>
      <c r="G457" s="10"/>
      <c r="H457" s="11">
        <f t="shared" ref="H457:H520" si="126">E457*G457</f>
        <v>0</v>
      </c>
      <c r="I457" s="66">
        <v>321</v>
      </c>
      <c r="J457" s="10" t="s">
        <v>215</v>
      </c>
      <c r="K457" s="10"/>
      <c r="L457" s="10"/>
      <c r="M457" s="10"/>
      <c r="N457" s="12" t="s">
        <v>1623</v>
      </c>
      <c r="O457" s="10"/>
      <c r="P457" s="58">
        <v>23800</v>
      </c>
      <c r="Q457" s="13">
        <f t="shared" si="115"/>
        <v>0.59731543624161076</v>
      </c>
      <c r="R457" s="11">
        <f t="shared" si="116"/>
        <v>0</v>
      </c>
      <c r="S457" s="10"/>
      <c r="T457" s="58">
        <f t="shared" si="123"/>
        <v>26820</v>
      </c>
      <c r="U457" s="13">
        <f t="shared" si="117"/>
        <v>0.8</v>
      </c>
      <c r="V457" s="11">
        <f t="shared" si="118"/>
        <v>0</v>
      </c>
      <c r="W457" s="10"/>
      <c r="X457" s="58">
        <f t="shared" si="124"/>
        <v>30544.999999999996</v>
      </c>
      <c r="Y457" s="13">
        <f t="shared" si="119"/>
        <v>1.0499999999999998</v>
      </c>
      <c r="Z457" s="11">
        <f t="shared" si="120"/>
        <v>0</v>
      </c>
      <c r="AA457" s="10" t="s">
        <v>1624</v>
      </c>
      <c r="AB457" s="10" t="s">
        <v>1625</v>
      </c>
      <c r="AC457" s="2"/>
    </row>
    <row r="458" spans="1:29" x14ac:dyDescent="0.3">
      <c r="A458" s="10">
        <v>171</v>
      </c>
      <c r="B458" s="2"/>
      <c r="C458" s="2">
        <v>1</v>
      </c>
      <c r="D458" s="10"/>
      <c r="E458" s="40">
        <v>32500</v>
      </c>
      <c r="F458" s="11">
        <f t="shared" si="125"/>
        <v>0</v>
      </c>
      <c r="G458" s="10"/>
      <c r="H458" s="11">
        <f t="shared" si="126"/>
        <v>0</v>
      </c>
      <c r="I458" s="67">
        <v>322</v>
      </c>
      <c r="J458" s="10" t="s">
        <v>215</v>
      </c>
      <c r="K458" s="10"/>
      <c r="L458" s="10"/>
      <c r="M458" s="10"/>
      <c r="N458" s="12" t="s">
        <v>1626</v>
      </c>
      <c r="O458" s="10"/>
      <c r="P458" s="58">
        <v>52000</v>
      </c>
      <c r="Q458" s="13">
        <f t="shared" si="115"/>
        <v>0.6</v>
      </c>
      <c r="R458" s="11">
        <f t="shared" si="116"/>
        <v>0</v>
      </c>
      <c r="S458" s="10"/>
      <c r="T458" s="58">
        <f t="shared" si="123"/>
        <v>58500</v>
      </c>
      <c r="U458" s="13">
        <f t="shared" si="117"/>
        <v>0.8</v>
      </c>
      <c r="V458" s="11">
        <f t="shared" si="118"/>
        <v>0</v>
      </c>
      <c r="W458" s="10"/>
      <c r="X458" s="58">
        <f t="shared" si="124"/>
        <v>66625</v>
      </c>
      <c r="Y458" s="13">
        <f t="shared" si="119"/>
        <v>1.05</v>
      </c>
      <c r="Z458" s="11">
        <f t="shared" si="120"/>
        <v>0</v>
      </c>
      <c r="AA458" s="10" t="s">
        <v>1627</v>
      </c>
      <c r="AB458" s="10" t="s">
        <v>1628</v>
      </c>
      <c r="AC458" s="2"/>
    </row>
    <row r="459" spans="1:29" x14ac:dyDescent="0.3">
      <c r="A459" s="10">
        <v>264</v>
      </c>
      <c r="B459" s="2"/>
      <c r="C459" s="2">
        <v>1</v>
      </c>
      <c r="D459" s="10"/>
      <c r="E459" s="40">
        <v>24599</v>
      </c>
      <c r="F459" s="11">
        <f t="shared" si="125"/>
        <v>0</v>
      </c>
      <c r="G459" s="10"/>
      <c r="H459" s="11">
        <f t="shared" si="126"/>
        <v>0</v>
      </c>
      <c r="I459" s="66">
        <v>323</v>
      </c>
      <c r="J459" s="10" t="s">
        <v>397</v>
      </c>
      <c r="K459" s="10"/>
      <c r="L459" s="10"/>
      <c r="M459" s="10"/>
      <c r="N459" s="12" t="s">
        <v>1629</v>
      </c>
      <c r="O459" s="10"/>
      <c r="P459" s="58">
        <v>39300</v>
      </c>
      <c r="Q459" s="13">
        <f t="shared" si="115"/>
        <v>0.59762591975283552</v>
      </c>
      <c r="R459" s="11">
        <f t="shared" si="116"/>
        <v>0</v>
      </c>
      <c r="S459" s="10"/>
      <c r="T459" s="58">
        <f t="shared" si="123"/>
        <v>44278.200000000004</v>
      </c>
      <c r="U459" s="13">
        <f t="shared" si="117"/>
        <v>0.80000000000000016</v>
      </c>
      <c r="V459" s="11">
        <f t="shared" si="118"/>
        <v>0</v>
      </c>
      <c r="W459" s="10"/>
      <c r="X459" s="58">
        <f t="shared" si="124"/>
        <v>50427.95</v>
      </c>
      <c r="Y459" s="13">
        <f t="shared" si="119"/>
        <v>1.0499999999999998</v>
      </c>
      <c r="Z459" s="11">
        <f t="shared" si="120"/>
        <v>0</v>
      </c>
      <c r="AA459" s="10" t="s">
        <v>1630</v>
      </c>
      <c r="AB459" s="10" t="s">
        <v>1631</v>
      </c>
      <c r="AC459" s="2" t="s">
        <v>1632</v>
      </c>
    </row>
    <row r="460" spans="1:29" x14ac:dyDescent="0.3">
      <c r="A460" s="10">
        <v>172</v>
      </c>
      <c r="B460" s="2"/>
      <c r="C460" s="2">
        <v>1</v>
      </c>
      <c r="D460" s="10"/>
      <c r="E460" s="40">
        <v>14000</v>
      </c>
      <c r="F460" s="11">
        <f t="shared" si="125"/>
        <v>0</v>
      </c>
      <c r="G460" s="10"/>
      <c r="H460" s="11">
        <f t="shared" si="126"/>
        <v>0</v>
      </c>
      <c r="I460" s="67">
        <v>324</v>
      </c>
      <c r="J460" s="10" t="s">
        <v>215</v>
      </c>
      <c r="K460" s="10"/>
      <c r="L460" s="10"/>
      <c r="M460" s="10"/>
      <c r="N460" s="12" t="s">
        <v>1633</v>
      </c>
      <c r="O460" s="10"/>
      <c r="P460" s="58">
        <v>22400</v>
      </c>
      <c r="Q460" s="13">
        <f t="shared" si="115"/>
        <v>0.6</v>
      </c>
      <c r="R460" s="11">
        <f t="shared" si="116"/>
        <v>0</v>
      </c>
      <c r="S460" s="10"/>
      <c r="T460" s="58">
        <f t="shared" si="123"/>
        <v>25200</v>
      </c>
      <c r="U460" s="13">
        <f t="shared" si="117"/>
        <v>0.8</v>
      </c>
      <c r="V460" s="11">
        <f t="shared" si="118"/>
        <v>0</v>
      </c>
      <c r="W460" s="10"/>
      <c r="X460" s="58">
        <f t="shared" si="124"/>
        <v>28699.999999999996</v>
      </c>
      <c r="Y460" s="13">
        <f t="shared" si="119"/>
        <v>1.0499999999999998</v>
      </c>
      <c r="Z460" s="11">
        <f t="shared" si="120"/>
        <v>0</v>
      </c>
      <c r="AA460" s="10" t="s">
        <v>1634</v>
      </c>
      <c r="AB460" s="10" t="s">
        <v>1635</v>
      </c>
      <c r="AC460" s="2"/>
    </row>
    <row r="461" spans="1:29" x14ac:dyDescent="0.3">
      <c r="A461" s="10">
        <v>265</v>
      </c>
      <c r="B461" s="2"/>
      <c r="C461" s="2">
        <v>1</v>
      </c>
      <c r="D461" s="10"/>
      <c r="E461" s="40">
        <v>17400</v>
      </c>
      <c r="F461" s="11">
        <f t="shared" si="125"/>
        <v>0</v>
      </c>
      <c r="G461" s="10"/>
      <c r="H461" s="11">
        <f t="shared" si="126"/>
        <v>0</v>
      </c>
      <c r="I461" s="66">
        <v>325</v>
      </c>
      <c r="J461" s="10" t="s">
        <v>397</v>
      </c>
      <c r="K461" s="10"/>
      <c r="L461" s="10"/>
      <c r="M461" s="10"/>
      <c r="N461" s="12" t="s">
        <v>1636</v>
      </c>
      <c r="O461" s="10"/>
      <c r="P461" s="58">
        <v>27800</v>
      </c>
      <c r="Q461" s="13">
        <f t="shared" si="115"/>
        <v>0.5977011494252874</v>
      </c>
      <c r="R461" s="11">
        <f t="shared" si="116"/>
        <v>0</v>
      </c>
      <c r="S461" s="10"/>
      <c r="T461" s="58">
        <f t="shared" si="123"/>
        <v>31320</v>
      </c>
      <c r="U461" s="13">
        <f t="shared" si="117"/>
        <v>0.8</v>
      </c>
      <c r="V461" s="11">
        <f t="shared" si="118"/>
        <v>0</v>
      </c>
      <c r="W461" s="10"/>
      <c r="X461" s="58">
        <f t="shared" si="124"/>
        <v>35670</v>
      </c>
      <c r="Y461" s="13">
        <f t="shared" si="119"/>
        <v>1.05</v>
      </c>
      <c r="Z461" s="11">
        <f t="shared" si="120"/>
        <v>0</v>
      </c>
      <c r="AA461" s="10" t="s">
        <v>1637</v>
      </c>
      <c r="AB461" s="10" t="s">
        <v>1638</v>
      </c>
      <c r="AC461" s="2" t="s">
        <v>1639</v>
      </c>
    </row>
    <row r="462" spans="1:29" x14ac:dyDescent="0.3">
      <c r="A462" s="10">
        <v>266</v>
      </c>
      <c r="B462" s="2"/>
      <c r="C462" s="2">
        <v>1</v>
      </c>
      <c r="D462" s="10"/>
      <c r="E462" s="40">
        <v>33000</v>
      </c>
      <c r="F462" s="11">
        <f t="shared" si="125"/>
        <v>0</v>
      </c>
      <c r="G462" s="10"/>
      <c r="H462" s="11">
        <f t="shared" si="126"/>
        <v>0</v>
      </c>
      <c r="I462" s="67">
        <v>326</v>
      </c>
      <c r="J462" s="10" t="s">
        <v>397</v>
      </c>
      <c r="K462" s="10"/>
      <c r="L462" s="10"/>
      <c r="M462" s="10"/>
      <c r="N462" s="12" t="s">
        <v>1640</v>
      </c>
      <c r="O462" s="10"/>
      <c r="P462" s="58">
        <v>52800</v>
      </c>
      <c r="Q462" s="13">
        <f t="shared" si="115"/>
        <v>0.6</v>
      </c>
      <c r="R462" s="11">
        <f t="shared" si="116"/>
        <v>0</v>
      </c>
      <c r="S462" s="10"/>
      <c r="T462" s="58">
        <f t="shared" si="123"/>
        <v>59400</v>
      </c>
      <c r="U462" s="13">
        <f t="shared" si="117"/>
        <v>0.8</v>
      </c>
      <c r="V462" s="11">
        <f t="shared" si="118"/>
        <v>0</v>
      </c>
      <c r="W462" s="10"/>
      <c r="X462" s="58">
        <f t="shared" si="124"/>
        <v>67650</v>
      </c>
      <c r="Y462" s="13">
        <f t="shared" si="119"/>
        <v>1.05</v>
      </c>
      <c r="Z462" s="11">
        <f t="shared" si="120"/>
        <v>0</v>
      </c>
      <c r="AA462" s="10" t="s">
        <v>1641</v>
      </c>
      <c r="AB462" s="10" t="s">
        <v>1642</v>
      </c>
      <c r="AC462" s="2" t="s">
        <v>1643</v>
      </c>
    </row>
    <row r="463" spans="1:29" x14ac:dyDescent="0.3">
      <c r="A463" s="10">
        <v>173</v>
      </c>
      <c r="B463" s="2"/>
      <c r="C463" s="2">
        <v>1</v>
      </c>
      <c r="D463" s="10"/>
      <c r="E463" s="40">
        <v>17500</v>
      </c>
      <c r="F463" s="11">
        <f t="shared" si="125"/>
        <v>0</v>
      </c>
      <c r="G463" s="10"/>
      <c r="H463" s="11">
        <f t="shared" si="126"/>
        <v>0</v>
      </c>
      <c r="I463" s="66">
        <v>327</v>
      </c>
      <c r="J463" s="10" t="s">
        <v>215</v>
      </c>
      <c r="K463" s="10"/>
      <c r="L463" s="10"/>
      <c r="M463" s="10"/>
      <c r="N463" s="12" t="s">
        <v>1644</v>
      </c>
      <c r="O463" s="10"/>
      <c r="P463" s="58">
        <v>28000</v>
      </c>
      <c r="Q463" s="13">
        <f t="shared" si="115"/>
        <v>0.6</v>
      </c>
      <c r="R463" s="11">
        <f t="shared" si="116"/>
        <v>0</v>
      </c>
      <c r="S463" s="10"/>
      <c r="T463" s="58">
        <f t="shared" si="123"/>
        <v>31500</v>
      </c>
      <c r="U463" s="13">
        <f t="shared" si="117"/>
        <v>0.8</v>
      </c>
      <c r="V463" s="11">
        <f t="shared" si="118"/>
        <v>0</v>
      </c>
      <c r="W463" s="10"/>
      <c r="X463" s="58">
        <f t="shared" si="124"/>
        <v>35875</v>
      </c>
      <c r="Y463" s="13">
        <f t="shared" si="119"/>
        <v>1.05</v>
      </c>
      <c r="Z463" s="11">
        <f t="shared" si="120"/>
        <v>0</v>
      </c>
      <c r="AA463" s="10" t="s">
        <v>1645</v>
      </c>
      <c r="AB463" s="10" t="s">
        <v>1646</v>
      </c>
      <c r="AC463" s="2" t="s">
        <v>1643</v>
      </c>
    </row>
    <row r="464" spans="1:29" x14ac:dyDescent="0.3">
      <c r="A464" s="10">
        <v>174</v>
      </c>
      <c r="B464" s="2"/>
      <c r="C464" s="2">
        <v>1</v>
      </c>
      <c r="D464" s="10"/>
      <c r="E464" s="40">
        <v>72000</v>
      </c>
      <c r="F464" s="11">
        <f t="shared" si="125"/>
        <v>0</v>
      </c>
      <c r="G464" s="10"/>
      <c r="H464" s="11">
        <f t="shared" si="126"/>
        <v>0</v>
      </c>
      <c r="I464" s="67">
        <v>328</v>
      </c>
      <c r="J464" s="10" t="s">
        <v>215</v>
      </c>
      <c r="K464" s="10"/>
      <c r="L464" s="10"/>
      <c r="M464" s="10"/>
      <c r="N464" s="12" t="s">
        <v>1647</v>
      </c>
      <c r="O464" s="10"/>
      <c r="P464" s="58">
        <v>115200</v>
      </c>
      <c r="Q464" s="13">
        <f t="shared" si="115"/>
        <v>0.6</v>
      </c>
      <c r="R464" s="11">
        <f t="shared" si="116"/>
        <v>0</v>
      </c>
      <c r="S464" s="10"/>
      <c r="T464" s="58">
        <f t="shared" si="123"/>
        <v>129600</v>
      </c>
      <c r="U464" s="13">
        <f t="shared" si="117"/>
        <v>0.8</v>
      </c>
      <c r="V464" s="11">
        <f t="shared" si="118"/>
        <v>0</v>
      </c>
      <c r="W464" s="10"/>
      <c r="X464" s="58">
        <f t="shared" si="124"/>
        <v>147600</v>
      </c>
      <c r="Y464" s="13">
        <f t="shared" si="119"/>
        <v>1.05</v>
      </c>
      <c r="Z464" s="11">
        <f t="shared" si="120"/>
        <v>0</v>
      </c>
      <c r="AA464" s="10" t="s">
        <v>1648</v>
      </c>
      <c r="AB464" s="10" t="s">
        <v>1649</v>
      </c>
      <c r="AC464" s="2"/>
    </row>
    <row r="465" spans="1:29" x14ac:dyDescent="0.3">
      <c r="A465" s="10">
        <v>175</v>
      </c>
      <c r="B465" s="2"/>
      <c r="C465" s="2">
        <v>1</v>
      </c>
      <c r="D465" s="10"/>
      <c r="E465" s="40">
        <v>89000</v>
      </c>
      <c r="F465" s="11">
        <f t="shared" si="125"/>
        <v>0</v>
      </c>
      <c r="G465" s="10"/>
      <c r="H465" s="11">
        <f t="shared" si="126"/>
        <v>0</v>
      </c>
      <c r="I465" s="66">
        <v>329</v>
      </c>
      <c r="J465" s="10" t="s">
        <v>215</v>
      </c>
      <c r="K465" s="10"/>
      <c r="L465" s="10"/>
      <c r="M465" s="10"/>
      <c r="N465" s="12" t="s">
        <v>1650</v>
      </c>
      <c r="O465" s="10"/>
      <c r="P465" s="58">
        <v>142400</v>
      </c>
      <c r="Q465" s="13">
        <f t="shared" si="115"/>
        <v>0.6</v>
      </c>
      <c r="R465" s="11">
        <f t="shared" si="116"/>
        <v>0</v>
      </c>
      <c r="S465" s="10"/>
      <c r="T465" s="58">
        <f t="shared" si="123"/>
        <v>160200</v>
      </c>
      <c r="U465" s="13">
        <f t="shared" si="117"/>
        <v>0.8</v>
      </c>
      <c r="V465" s="11">
        <f t="shared" si="118"/>
        <v>0</v>
      </c>
      <c r="W465" s="10"/>
      <c r="X465" s="58">
        <f t="shared" si="124"/>
        <v>182449.99999999997</v>
      </c>
      <c r="Y465" s="13">
        <f t="shared" si="119"/>
        <v>1.0499999999999996</v>
      </c>
      <c r="Z465" s="11">
        <f t="shared" si="120"/>
        <v>0</v>
      </c>
      <c r="AA465" s="10" t="s">
        <v>1651</v>
      </c>
      <c r="AB465" s="10" t="s">
        <v>1652</v>
      </c>
      <c r="AC465" s="2"/>
    </row>
    <row r="466" spans="1:29" x14ac:dyDescent="0.3">
      <c r="A466" s="10">
        <v>267</v>
      </c>
      <c r="B466" s="2"/>
      <c r="C466" s="2">
        <v>1</v>
      </c>
      <c r="D466" s="10"/>
      <c r="E466" s="40">
        <v>4200</v>
      </c>
      <c r="F466" s="11">
        <f t="shared" si="125"/>
        <v>0</v>
      </c>
      <c r="G466" s="10"/>
      <c r="H466" s="11">
        <f t="shared" si="126"/>
        <v>0</v>
      </c>
      <c r="I466" s="67">
        <v>330</v>
      </c>
      <c r="J466" s="10" t="s">
        <v>397</v>
      </c>
      <c r="K466" s="10"/>
      <c r="L466" s="10"/>
      <c r="M466" s="10"/>
      <c r="N466" s="12" t="s">
        <v>1653</v>
      </c>
      <c r="O466" s="10"/>
      <c r="P466" s="58">
        <v>6700</v>
      </c>
      <c r="Q466" s="13">
        <f t="shared" si="115"/>
        <v>0.59523809523809523</v>
      </c>
      <c r="R466" s="11">
        <f t="shared" si="116"/>
        <v>0</v>
      </c>
      <c r="S466" s="10"/>
      <c r="T466" s="58">
        <f t="shared" si="123"/>
        <v>7560</v>
      </c>
      <c r="U466" s="13">
        <f t="shared" si="117"/>
        <v>0.8</v>
      </c>
      <c r="V466" s="11">
        <f t="shared" si="118"/>
        <v>0</v>
      </c>
      <c r="W466" s="10"/>
      <c r="X466" s="58">
        <f t="shared" si="124"/>
        <v>8610</v>
      </c>
      <c r="Y466" s="13">
        <f t="shared" si="119"/>
        <v>1.05</v>
      </c>
      <c r="Z466" s="11">
        <f t="shared" si="120"/>
        <v>0</v>
      </c>
      <c r="AA466" s="10" t="s">
        <v>1654</v>
      </c>
      <c r="AB466" s="10" t="s">
        <v>1655</v>
      </c>
      <c r="AC466" s="2" t="s">
        <v>1656</v>
      </c>
    </row>
    <row r="467" spans="1:29" x14ac:dyDescent="0.3">
      <c r="A467" s="10">
        <v>176</v>
      </c>
      <c r="B467" s="2"/>
      <c r="C467" s="2">
        <v>1</v>
      </c>
      <c r="D467" s="10"/>
      <c r="E467" s="40">
        <v>15000</v>
      </c>
      <c r="F467" s="11">
        <f t="shared" si="125"/>
        <v>0</v>
      </c>
      <c r="G467" s="10"/>
      <c r="H467" s="11">
        <f t="shared" si="126"/>
        <v>0</v>
      </c>
      <c r="I467" s="66">
        <v>331</v>
      </c>
      <c r="J467" s="10" t="s">
        <v>215</v>
      </c>
      <c r="K467" s="10"/>
      <c r="L467" s="10"/>
      <c r="M467" s="10"/>
      <c r="N467" s="12" t="s">
        <v>1657</v>
      </c>
      <c r="O467" s="10"/>
      <c r="P467" s="58">
        <v>24000</v>
      </c>
      <c r="Q467" s="13">
        <f t="shared" si="115"/>
        <v>0.6</v>
      </c>
      <c r="R467" s="11">
        <f t="shared" si="116"/>
        <v>0</v>
      </c>
      <c r="S467" s="10"/>
      <c r="T467" s="58">
        <f t="shared" si="123"/>
        <v>27000</v>
      </c>
      <c r="U467" s="13">
        <f t="shared" si="117"/>
        <v>0.8</v>
      </c>
      <c r="V467" s="11">
        <f t="shared" si="118"/>
        <v>0</v>
      </c>
      <c r="W467" s="10"/>
      <c r="X467" s="58">
        <f t="shared" si="124"/>
        <v>30749.999999999996</v>
      </c>
      <c r="Y467" s="13">
        <f t="shared" si="119"/>
        <v>1.0499999999999998</v>
      </c>
      <c r="Z467" s="11">
        <f t="shared" si="120"/>
        <v>0</v>
      </c>
      <c r="AA467" s="10" t="s">
        <v>1658</v>
      </c>
      <c r="AB467" s="10" t="s">
        <v>1659</v>
      </c>
      <c r="AC467" s="2"/>
    </row>
    <row r="468" spans="1:29" x14ac:dyDescent="0.3">
      <c r="A468" s="10">
        <v>268</v>
      </c>
      <c r="B468" s="2"/>
      <c r="C468" s="2">
        <v>1</v>
      </c>
      <c r="D468" s="10"/>
      <c r="E468" s="40">
        <v>7900</v>
      </c>
      <c r="F468" s="11">
        <f t="shared" si="125"/>
        <v>0</v>
      </c>
      <c r="G468" s="10"/>
      <c r="H468" s="11">
        <f t="shared" si="126"/>
        <v>0</v>
      </c>
      <c r="I468" s="67">
        <v>332</v>
      </c>
      <c r="J468" s="10" t="s">
        <v>397</v>
      </c>
      <c r="K468" s="10"/>
      <c r="L468" s="10"/>
      <c r="M468" s="10"/>
      <c r="N468" s="12" t="s">
        <v>1660</v>
      </c>
      <c r="O468" s="10"/>
      <c r="P468" s="58">
        <v>12600</v>
      </c>
      <c r="Q468" s="13">
        <f t="shared" si="115"/>
        <v>0.59493670886075944</v>
      </c>
      <c r="R468" s="11">
        <f t="shared" si="116"/>
        <v>0</v>
      </c>
      <c r="S468" s="10"/>
      <c r="T468" s="58">
        <f t="shared" si="123"/>
        <v>14220</v>
      </c>
      <c r="U468" s="13">
        <f t="shared" si="117"/>
        <v>0.8</v>
      </c>
      <c r="V468" s="11">
        <f t="shared" si="118"/>
        <v>0</v>
      </c>
      <c r="W468" s="10"/>
      <c r="X468" s="58">
        <f t="shared" si="124"/>
        <v>16194.999999999998</v>
      </c>
      <c r="Y468" s="13">
        <f t="shared" si="119"/>
        <v>1.0499999999999998</v>
      </c>
      <c r="Z468" s="11">
        <f t="shared" si="120"/>
        <v>0</v>
      </c>
      <c r="AA468" s="10" t="s">
        <v>1661</v>
      </c>
      <c r="AB468" s="10" t="s">
        <v>1662</v>
      </c>
      <c r="AC468" s="2" t="s">
        <v>1663</v>
      </c>
    </row>
    <row r="469" spans="1:29" x14ac:dyDescent="0.3">
      <c r="A469" s="10">
        <v>269</v>
      </c>
      <c r="B469" s="2"/>
      <c r="C469" s="2">
        <v>1</v>
      </c>
      <c r="D469" s="10"/>
      <c r="E469" s="40">
        <v>43900</v>
      </c>
      <c r="F469" s="11">
        <f t="shared" si="125"/>
        <v>0</v>
      </c>
      <c r="G469" s="10"/>
      <c r="H469" s="11">
        <f t="shared" si="126"/>
        <v>0</v>
      </c>
      <c r="I469" s="66">
        <v>333</v>
      </c>
      <c r="J469" s="10" t="s">
        <v>397</v>
      </c>
      <c r="K469" s="10"/>
      <c r="L469" s="10"/>
      <c r="M469" s="10"/>
      <c r="N469" s="12" t="s">
        <v>1664</v>
      </c>
      <c r="O469" s="10"/>
      <c r="P469" s="58">
        <v>70200</v>
      </c>
      <c r="Q469" s="13">
        <f t="shared" si="115"/>
        <v>0.59908883826879267</v>
      </c>
      <c r="R469" s="11">
        <f t="shared" si="116"/>
        <v>0</v>
      </c>
      <c r="S469" s="10"/>
      <c r="T469" s="58">
        <f t="shared" si="123"/>
        <v>79020</v>
      </c>
      <c r="U469" s="13">
        <f t="shared" si="117"/>
        <v>0.8</v>
      </c>
      <c r="V469" s="11">
        <f t="shared" si="118"/>
        <v>0</v>
      </c>
      <c r="W469" s="10"/>
      <c r="X469" s="58">
        <f t="shared" si="124"/>
        <v>89994.999999999985</v>
      </c>
      <c r="Y469" s="13">
        <f t="shared" si="119"/>
        <v>1.0499999999999996</v>
      </c>
      <c r="Z469" s="11">
        <f t="shared" si="120"/>
        <v>0</v>
      </c>
      <c r="AA469" s="10" t="s">
        <v>1665</v>
      </c>
      <c r="AB469" s="10" t="s">
        <v>1666</v>
      </c>
      <c r="AC469" s="2" t="s">
        <v>1667</v>
      </c>
    </row>
    <row r="470" spans="1:29" x14ac:dyDescent="0.3">
      <c r="A470" s="10">
        <v>270</v>
      </c>
      <c r="B470" s="2"/>
      <c r="C470" s="2">
        <v>1</v>
      </c>
      <c r="D470" s="10"/>
      <c r="E470" s="40">
        <v>41899</v>
      </c>
      <c r="F470" s="11">
        <f t="shared" si="125"/>
        <v>0</v>
      </c>
      <c r="G470" s="10"/>
      <c r="H470" s="11">
        <f t="shared" si="126"/>
        <v>0</v>
      </c>
      <c r="I470" s="67">
        <v>334</v>
      </c>
      <c r="J470" s="10" t="s">
        <v>397</v>
      </c>
      <c r="K470" s="10"/>
      <c r="L470" s="10"/>
      <c r="M470" s="10"/>
      <c r="N470" s="12" t="s">
        <v>1668</v>
      </c>
      <c r="O470" s="10"/>
      <c r="P470" s="58">
        <v>67000</v>
      </c>
      <c r="Q470" s="13">
        <f t="shared" si="115"/>
        <v>0.59908351034630902</v>
      </c>
      <c r="R470" s="11">
        <f t="shared" si="116"/>
        <v>0</v>
      </c>
      <c r="S470" s="10"/>
      <c r="T470" s="58">
        <f t="shared" si="123"/>
        <v>75418.2</v>
      </c>
      <c r="U470" s="13">
        <f t="shared" si="117"/>
        <v>0.79999999999999993</v>
      </c>
      <c r="V470" s="11">
        <f t="shared" si="118"/>
        <v>0</v>
      </c>
      <c r="W470" s="10"/>
      <c r="X470" s="58">
        <f t="shared" si="124"/>
        <v>85892.95</v>
      </c>
      <c r="Y470" s="13">
        <f t="shared" si="119"/>
        <v>1.0499999999999998</v>
      </c>
      <c r="Z470" s="11">
        <f t="shared" si="120"/>
        <v>0</v>
      </c>
      <c r="AA470" s="10" t="s">
        <v>1669</v>
      </c>
      <c r="AB470" s="10" t="s">
        <v>1670</v>
      </c>
      <c r="AC470" s="2" t="s">
        <v>1671</v>
      </c>
    </row>
    <row r="471" spans="1:29" x14ac:dyDescent="0.3">
      <c r="A471" s="10">
        <v>271</v>
      </c>
      <c r="B471" s="2"/>
      <c r="C471" s="2">
        <v>1</v>
      </c>
      <c r="D471" s="10"/>
      <c r="E471" s="40">
        <v>77500</v>
      </c>
      <c r="F471" s="11">
        <f t="shared" si="125"/>
        <v>0</v>
      </c>
      <c r="G471" s="10"/>
      <c r="H471" s="11">
        <f t="shared" si="126"/>
        <v>0</v>
      </c>
      <c r="I471" s="66">
        <v>335</v>
      </c>
      <c r="J471" s="10" t="s">
        <v>397</v>
      </c>
      <c r="K471" s="10"/>
      <c r="L471" s="10"/>
      <c r="M471" s="10"/>
      <c r="N471" s="12" t="s">
        <v>1672</v>
      </c>
      <c r="O471" s="10"/>
      <c r="P471" s="58">
        <v>124000</v>
      </c>
      <c r="Q471" s="13">
        <f t="shared" si="115"/>
        <v>0.6</v>
      </c>
      <c r="R471" s="11">
        <f t="shared" si="116"/>
        <v>0</v>
      </c>
      <c r="S471" s="10"/>
      <c r="T471" s="58">
        <f t="shared" si="123"/>
        <v>139500</v>
      </c>
      <c r="U471" s="13">
        <f t="shared" si="117"/>
        <v>0.8</v>
      </c>
      <c r="V471" s="11">
        <f t="shared" si="118"/>
        <v>0</v>
      </c>
      <c r="W471" s="10"/>
      <c r="X471" s="58">
        <f t="shared" si="124"/>
        <v>158875</v>
      </c>
      <c r="Y471" s="13">
        <f t="shared" si="119"/>
        <v>1.05</v>
      </c>
      <c r="Z471" s="11">
        <f t="shared" si="120"/>
        <v>0</v>
      </c>
      <c r="AA471" s="10" t="s">
        <v>1673</v>
      </c>
      <c r="AB471" s="10" t="s">
        <v>1674</v>
      </c>
      <c r="AC471" s="2" t="s">
        <v>1675</v>
      </c>
    </row>
    <row r="472" spans="1:29" x14ac:dyDescent="0.3">
      <c r="A472" s="10">
        <v>177</v>
      </c>
      <c r="B472" s="2"/>
      <c r="C472" s="2">
        <v>1</v>
      </c>
      <c r="D472" s="10"/>
      <c r="E472" s="40">
        <v>48000</v>
      </c>
      <c r="F472" s="11">
        <f t="shared" si="125"/>
        <v>0</v>
      </c>
      <c r="G472" s="10"/>
      <c r="H472" s="11">
        <f t="shared" si="126"/>
        <v>0</v>
      </c>
      <c r="I472" s="67">
        <v>336</v>
      </c>
      <c r="J472" s="10" t="s">
        <v>215</v>
      </c>
      <c r="K472" s="10"/>
      <c r="L472" s="10"/>
      <c r="M472" s="10"/>
      <c r="N472" s="12" t="s">
        <v>1676</v>
      </c>
      <c r="O472" s="10"/>
      <c r="P472" s="58">
        <v>76800</v>
      </c>
      <c r="Q472" s="13">
        <f t="shared" si="115"/>
        <v>0.6</v>
      </c>
      <c r="R472" s="11">
        <f t="shared" si="116"/>
        <v>0</v>
      </c>
      <c r="S472" s="10"/>
      <c r="T472" s="58">
        <f t="shared" si="123"/>
        <v>86400</v>
      </c>
      <c r="U472" s="13">
        <f t="shared" si="117"/>
        <v>0.8</v>
      </c>
      <c r="V472" s="11">
        <f t="shared" si="118"/>
        <v>0</v>
      </c>
      <c r="W472" s="10"/>
      <c r="X472" s="58">
        <f t="shared" si="124"/>
        <v>98399.999999999985</v>
      </c>
      <c r="Y472" s="13">
        <f t="shared" si="119"/>
        <v>1.0499999999999996</v>
      </c>
      <c r="Z472" s="11">
        <f t="shared" si="120"/>
        <v>0</v>
      </c>
      <c r="AA472" s="10" t="s">
        <v>1677</v>
      </c>
      <c r="AB472" s="10" t="s">
        <v>1678</v>
      </c>
      <c r="AC472" s="2"/>
    </row>
    <row r="473" spans="1:29" x14ac:dyDescent="0.3">
      <c r="A473" s="10">
        <v>275</v>
      </c>
      <c r="B473" s="2"/>
      <c r="C473" s="2">
        <v>1</v>
      </c>
      <c r="D473" s="10"/>
      <c r="E473" s="40">
        <v>19000</v>
      </c>
      <c r="F473" s="11">
        <f t="shared" si="125"/>
        <v>0</v>
      </c>
      <c r="G473" s="10"/>
      <c r="H473" s="11">
        <f t="shared" si="126"/>
        <v>0</v>
      </c>
      <c r="I473" s="66">
        <v>337</v>
      </c>
      <c r="J473" s="10" t="s">
        <v>397</v>
      </c>
      <c r="K473" s="10"/>
      <c r="L473" s="10"/>
      <c r="M473" s="10"/>
      <c r="N473" s="12" t="s">
        <v>1679</v>
      </c>
      <c r="O473" s="10"/>
      <c r="P473" s="58">
        <v>30400</v>
      </c>
      <c r="Q473" s="13">
        <f t="shared" si="115"/>
        <v>0.6</v>
      </c>
      <c r="R473" s="11">
        <f t="shared" si="116"/>
        <v>0</v>
      </c>
      <c r="S473" s="10"/>
      <c r="T473" s="58">
        <f t="shared" si="123"/>
        <v>34200</v>
      </c>
      <c r="U473" s="13">
        <f t="shared" si="117"/>
        <v>0.8</v>
      </c>
      <c r="V473" s="11">
        <f t="shared" si="118"/>
        <v>0</v>
      </c>
      <c r="W473" s="10"/>
      <c r="X473" s="58">
        <f t="shared" si="124"/>
        <v>38950</v>
      </c>
      <c r="Y473" s="13">
        <f t="shared" si="119"/>
        <v>1.05</v>
      </c>
      <c r="Z473" s="11">
        <f t="shared" si="120"/>
        <v>0</v>
      </c>
      <c r="AA473" s="10" t="s">
        <v>1680</v>
      </c>
      <c r="AB473" s="10" t="s">
        <v>1681</v>
      </c>
      <c r="AC473" s="2" t="s">
        <v>1682</v>
      </c>
    </row>
    <row r="474" spans="1:29" x14ac:dyDescent="0.3">
      <c r="A474" s="10">
        <v>178</v>
      </c>
      <c r="B474" s="2"/>
      <c r="C474" s="2">
        <v>1</v>
      </c>
      <c r="D474" s="10"/>
      <c r="E474" s="40">
        <v>6650</v>
      </c>
      <c r="F474" s="11">
        <f t="shared" si="125"/>
        <v>0</v>
      </c>
      <c r="G474" s="10"/>
      <c r="H474" s="11">
        <f t="shared" si="126"/>
        <v>0</v>
      </c>
      <c r="I474" s="67">
        <v>338</v>
      </c>
      <c r="J474" s="10" t="s">
        <v>215</v>
      </c>
      <c r="K474" s="10"/>
      <c r="L474" s="10"/>
      <c r="M474" s="10"/>
      <c r="N474" s="12" t="s">
        <v>1683</v>
      </c>
      <c r="O474" s="10"/>
      <c r="P474" s="58">
        <v>10600</v>
      </c>
      <c r="Q474" s="13">
        <f t="shared" si="115"/>
        <v>0.59398496240601506</v>
      </c>
      <c r="R474" s="11">
        <f t="shared" si="116"/>
        <v>0</v>
      </c>
      <c r="S474" s="10"/>
      <c r="T474" s="58">
        <f t="shared" si="123"/>
        <v>11970</v>
      </c>
      <c r="U474" s="13">
        <f t="shared" si="117"/>
        <v>0.8</v>
      </c>
      <c r="V474" s="11">
        <f t="shared" si="118"/>
        <v>0</v>
      </c>
      <c r="W474" s="10"/>
      <c r="X474" s="58">
        <f t="shared" si="124"/>
        <v>13632.499999999998</v>
      </c>
      <c r="Y474" s="13">
        <f t="shared" si="119"/>
        <v>1.0499999999999998</v>
      </c>
      <c r="Z474" s="11">
        <f t="shared" si="120"/>
        <v>0</v>
      </c>
      <c r="AA474" s="10" t="s">
        <v>1684</v>
      </c>
      <c r="AB474" s="10" t="s">
        <v>1685</v>
      </c>
      <c r="AC474" s="2" t="s">
        <v>1686</v>
      </c>
    </row>
    <row r="475" spans="1:29" x14ac:dyDescent="0.3">
      <c r="A475" s="10">
        <v>179</v>
      </c>
      <c r="B475" s="2"/>
      <c r="C475" s="2">
        <v>1</v>
      </c>
      <c r="D475" s="10"/>
      <c r="E475" s="40">
        <v>14800</v>
      </c>
      <c r="F475" s="11">
        <f t="shared" si="125"/>
        <v>0</v>
      </c>
      <c r="G475" s="10"/>
      <c r="H475" s="11">
        <f t="shared" si="126"/>
        <v>0</v>
      </c>
      <c r="I475" s="66">
        <v>339</v>
      </c>
      <c r="J475" s="10" t="s">
        <v>215</v>
      </c>
      <c r="K475" s="10"/>
      <c r="L475" s="10"/>
      <c r="M475" s="10"/>
      <c r="N475" s="12" t="s">
        <v>1687</v>
      </c>
      <c r="O475" s="10"/>
      <c r="P475" s="58">
        <v>23600</v>
      </c>
      <c r="Q475" s="13">
        <f t="shared" si="115"/>
        <v>0.59459459459459463</v>
      </c>
      <c r="R475" s="11">
        <f t="shared" si="116"/>
        <v>0</v>
      </c>
      <c r="S475" s="10"/>
      <c r="T475" s="58">
        <f t="shared" si="123"/>
        <v>26640</v>
      </c>
      <c r="U475" s="13">
        <f t="shared" si="117"/>
        <v>0.8</v>
      </c>
      <c r="V475" s="11">
        <f t="shared" si="118"/>
        <v>0</v>
      </c>
      <c r="W475" s="10"/>
      <c r="X475" s="58">
        <f t="shared" si="124"/>
        <v>30339.999999999996</v>
      </c>
      <c r="Y475" s="13">
        <f t="shared" si="119"/>
        <v>1.0499999999999998</v>
      </c>
      <c r="Z475" s="11">
        <f t="shared" si="120"/>
        <v>0</v>
      </c>
      <c r="AA475" s="10" t="s">
        <v>1688</v>
      </c>
      <c r="AB475" s="10" t="s">
        <v>1689</v>
      </c>
      <c r="AC475" s="2"/>
    </row>
    <row r="476" spans="1:29" x14ac:dyDescent="0.3">
      <c r="A476" s="10">
        <v>278</v>
      </c>
      <c r="B476" s="2"/>
      <c r="C476" s="2">
        <v>1</v>
      </c>
      <c r="D476" s="10"/>
      <c r="E476" s="40">
        <v>8187</v>
      </c>
      <c r="F476" s="11">
        <f t="shared" si="125"/>
        <v>0</v>
      </c>
      <c r="G476" s="10"/>
      <c r="H476" s="11">
        <f t="shared" si="126"/>
        <v>0</v>
      </c>
      <c r="I476" s="67">
        <v>340</v>
      </c>
      <c r="J476" s="10" t="s">
        <v>397</v>
      </c>
      <c r="K476" s="10"/>
      <c r="L476" s="10"/>
      <c r="M476" s="10"/>
      <c r="N476" s="12" t="s">
        <v>1690</v>
      </c>
      <c r="O476" s="10"/>
      <c r="P476" s="58">
        <v>13000</v>
      </c>
      <c r="Q476" s="13">
        <f t="shared" si="115"/>
        <v>0.58788322951019911</v>
      </c>
      <c r="R476" s="11">
        <f t="shared" si="116"/>
        <v>0</v>
      </c>
      <c r="S476" s="10"/>
      <c r="T476" s="58">
        <f t="shared" si="123"/>
        <v>14736.6</v>
      </c>
      <c r="U476" s="13">
        <f t="shared" si="117"/>
        <v>0.8</v>
      </c>
      <c r="V476" s="11">
        <f t="shared" si="118"/>
        <v>0</v>
      </c>
      <c r="W476" s="10"/>
      <c r="X476" s="58">
        <f t="shared" si="124"/>
        <v>16783.349999999999</v>
      </c>
      <c r="Y476" s="13">
        <f t="shared" si="119"/>
        <v>1.0499999999999998</v>
      </c>
      <c r="Z476" s="11">
        <f t="shared" si="120"/>
        <v>0</v>
      </c>
      <c r="AA476" s="10" t="s">
        <v>1691</v>
      </c>
      <c r="AB476" s="10" t="s">
        <v>1692</v>
      </c>
      <c r="AC476" s="2" t="s">
        <v>1693</v>
      </c>
    </row>
    <row r="477" spans="1:29" x14ac:dyDescent="0.3">
      <c r="A477" s="10">
        <v>281</v>
      </c>
      <c r="B477" s="2"/>
      <c r="C477" s="2">
        <v>1</v>
      </c>
      <c r="D477" s="10"/>
      <c r="E477" s="40">
        <v>22500</v>
      </c>
      <c r="F477" s="11">
        <f t="shared" si="125"/>
        <v>0</v>
      </c>
      <c r="G477" s="10"/>
      <c r="H477" s="11">
        <f t="shared" si="126"/>
        <v>0</v>
      </c>
      <c r="I477" s="66">
        <v>341</v>
      </c>
      <c r="J477" s="10" t="s">
        <v>397</v>
      </c>
      <c r="K477" s="10"/>
      <c r="L477" s="10"/>
      <c r="M477" s="10"/>
      <c r="N477" s="12" t="s">
        <v>1694</v>
      </c>
      <c r="O477" s="10"/>
      <c r="P477" s="58">
        <v>36000</v>
      </c>
      <c r="Q477" s="13">
        <f t="shared" si="115"/>
        <v>0.6</v>
      </c>
      <c r="R477" s="11">
        <f t="shared" si="116"/>
        <v>0</v>
      </c>
      <c r="S477" s="10"/>
      <c r="T477" s="58">
        <f t="shared" si="123"/>
        <v>40500</v>
      </c>
      <c r="U477" s="13">
        <f t="shared" si="117"/>
        <v>0.8</v>
      </c>
      <c r="V477" s="11">
        <f t="shared" si="118"/>
        <v>0</v>
      </c>
      <c r="W477" s="10"/>
      <c r="X477" s="58">
        <f t="shared" si="124"/>
        <v>46124.999999999993</v>
      </c>
      <c r="Y477" s="13">
        <f t="shared" si="119"/>
        <v>1.0499999999999996</v>
      </c>
      <c r="Z477" s="11">
        <f t="shared" si="120"/>
        <v>0</v>
      </c>
      <c r="AA477" s="10" t="s">
        <v>1695</v>
      </c>
      <c r="AB477" s="10" t="s">
        <v>1696</v>
      </c>
      <c r="AC477" s="2" t="s">
        <v>1697</v>
      </c>
    </row>
    <row r="478" spans="1:29" x14ac:dyDescent="0.3">
      <c r="A478" s="10">
        <v>180</v>
      </c>
      <c r="B478" s="2"/>
      <c r="C478" s="2">
        <v>1</v>
      </c>
      <c r="D478" s="10"/>
      <c r="E478" s="40">
        <v>32600</v>
      </c>
      <c r="F478" s="11">
        <f t="shared" si="125"/>
        <v>0</v>
      </c>
      <c r="G478" s="10"/>
      <c r="H478" s="11">
        <f t="shared" si="126"/>
        <v>0</v>
      </c>
      <c r="I478" s="67">
        <v>342</v>
      </c>
      <c r="J478" s="10" t="s">
        <v>215</v>
      </c>
      <c r="K478" s="10"/>
      <c r="L478" s="10"/>
      <c r="M478" s="10"/>
      <c r="N478" s="12" t="s">
        <v>1698</v>
      </c>
      <c r="O478" s="10"/>
      <c r="P478" s="58">
        <v>52100</v>
      </c>
      <c r="Q478" s="13">
        <f t="shared" si="115"/>
        <v>0.59815950920245398</v>
      </c>
      <c r="R478" s="11">
        <f t="shared" si="116"/>
        <v>0</v>
      </c>
      <c r="S478" s="10"/>
      <c r="T478" s="58">
        <f t="shared" si="123"/>
        <v>58680</v>
      </c>
      <c r="U478" s="13">
        <f t="shared" si="117"/>
        <v>0.8</v>
      </c>
      <c r="V478" s="11">
        <f t="shared" si="118"/>
        <v>0</v>
      </c>
      <c r="W478" s="10"/>
      <c r="X478" s="58">
        <f t="shared" si="124"/>
        <v>66830</v>
      </c>
      <c r="Y478" s="13">
        <f t="shared" si="119"/>
        <v>1.05</v>
      </c>
      <c r="Z478" s="11">
        <f t="shared" si="120"/>
        <v>0</v>
      </c>
      <c r="AA478" s="10" t="s">
        <v>1699</v>
      </c>
      <c r="AB478" s="10" t="s">
        <v>1700</v>
      </c>
      <c r="AC478" s="2"/>
    </row>
    <row r="479" spans="1:29" x14ac:dyDescent="0.3">
      <c r="A479" s="10">
        <v>228</v>
      </c>
      <c r="B479" s="2"/>
      <c r="C479" s="2">
        <v>1</v>
      </c>
      <c r="D479" s="10"/>
      <c r="E479" s="40">
        <v>4500</v>
      </c>
      <c r="F479" s="11">
        <f t="shared" si="125"/>
        <v>0</v>
      </c>
      <c r="G479" s="10"/>
      <c r="H479" s="11">
        <f t="shared" si="126"/>
        <v>0</v>
      </c>
      <c r="I479" s="66">
        <v>343</v>
      </c>
      <c r="J479" s="10" t="s">
        <v>397</v>
      </c>
      <c r="K479" s="10"/>
      <c r="L479" s="10"/>
      <c r="M479" s="10"/>
      <c r="N479" s="12" t="s">
        <v>1717</v>
      </c>
      <c r="O479" s="10"/>
      <c r="P479" s="58">
        <v>7200</v>
      </c>
      <c r="Q479" s="13">
        <f t="shared" si="115"/>
        <v>0.6</v>
      </c>
      <c r="R479" s="11">
        <f t="shared" si="116"/>
        <v>0</v>
      </c>
      <c r="S479" s="10"/>
      <c r="T479" s="58">
        <f t="shared" si="123"/>
        <v>8100</v>
      </c>
      <c r="U479" s="13">
        <f t="shared" si="117"/>
        <v>0.8</v>
      </c>
      <c r="V479" s="11">
        <f t="shared" si="118"/>
        <v>0</v>
      </c>
      <c r="W479" s="10"/>
      <c r="X479" s="58">
        <f t="shared" si="124"/>
        <v>9225</v>
      </c>
      <c r="Y479" s="13">
        <f t="shared" si="119"/>
        <v>1.05</v>
      </c>
      <c r="Z479" s="11">
        <f t="shared" si="120"/>
        <v>0</v>
      </c>
      <c r="AA479" s="10" t="s">
        <v>1718</v>
      </c>
      <c r="AB479" s="10" t="s">
        <v>1719</v>
      </c>
      <c r="AC479" s="2" t="s">
        <v>1720</v>
      </c>
    </row>
    <row r="480" spans="1:29" x14ac:dyDescent="0.3">
      <c r="A480" s="10">
        <v>83</v>
      </c>
      <c r="B480" s="2"/>
      <c r="C480" s="2">
        <v>1</v>
      </c>
      <c r="D480" s="10"/>
      <c r="E480" s="40">
        <v>129000</v>
      </c>
      <c r="F480" s="11">
        <f t="shared" si="125"/>
        <v>0</v>
      </c>
      <c r="G480" s="10"/>
      <c r="H480" s="11">
        <f t="shared" si="126"/>
        <v>0</v>
      </c>
      <c r="I480" s="67">
        <v>344</v>
      </c>
      <c r="J480" s="10" t="s">
        <v>117</v>
      </c>
      <c r="K480" s="10"/>
      <c r="L480" s="10"/>
      <c r="M480" s="10"/>
      <c r="N480" s="12" t="s">
        <v>1721</v>
      </c>
      <c r="O480" s="10"/>
      <c r="P480" s="58">
        <v>206400</v>
      </c>
      <c r="Q480" s="13">
        <f t="shared" si="115"/>
        <v>0.6</v>
      </c>
      <c r="R480" s="11">
        <f t="shared" si="116"/>
        <v>0</v>
      </c>
      <c r="S480" s="10"/>
      <c r="T480" s="58">
        <f t="shared" si="123"/>
        <v>232200</v>
      </c>
      <c r="U480" s="13">
        <f t="shared" si="117"/>
        <v>0.8</v>
      </c>
      <c r="V480" s="11">
        <f t="shared" si="118"/>
        <v>0</v>
      </c>
      <c r="W480" s="10"/>
      <c r="X480" s="58">
        <f t="shared" si="124"/>
        <v>264450</v>
      </c>
      <c r="Y480" s="13">
        <f t="shared" si="119"/>
        <v>1.05</v>
      </c>
      <c r="Z480" s="11">
        <f t="shared" si="120"/>
        <v>0</v>
      </c>
      <c r="AA480" s="10" t="s">
        <v>1722</v>
      </c>
      <c r="AB480" s="10" t="s">
        <v>1723</v>
      </c>
      <c r="AC480" s="2"/>
    </row>
    <row r="481" spans="1:29" x14ac:dyDescent="0.3">
      <c r="A481" s="10">
        <v>250</v>
      </c>
      <c r="B481" s="2"/>
      <c r="C481" s="2">
        <v>1</v>
      </c>
      <c r="D481" s="10"/>
      <c r="E481" s="40">
        <v>79899</v>
      </c>
      <c r="F481" s="11">
        <f t="shared" si="125"/>
        <v>0</v>
      </c>
      <c r="G481" s="10"/>
      <c r="H481" s="11">
        <f t="shared" si="126"/>
        <v>0</v>
      </c>
      <c r="I481" s="66">
        <v>345</v>
      </c>
      <c r="J481" s="10" t="s">
        <v>397</v>
      </c>
      <c r="K481" s="10"/>
      <c r="L481" s="10"/>
      <c r="M481" s="10"/>
      <c r="N481" s="12" t="s">
        <v>1724</v>
      </c>
      <c r="O481" s="10"/>
      <c r="P481" s="58">
        <v>127800</v>
      </c>
      <c r="Q481" s="13">
        <f t="shared" si="115"/>
        <v>0.59951939323395786</v>
      </c>
      <c r="R481" s="11">
        <f t="shared" si="116"/>
        <v>0</v>
      </c>
      <c r="S481" s="10"/>
      <c r="T481" s="58">
        <f t="shared" si="123"/>
        <v>143818.20000000001</v>
      </c>
      <c r="U481" s="13">
        <f t="shared" si="117"/>
        <v>0.80000000000000016</v>
      </c>
      <c r="V481" s="11">
        <f t="shared" si="118"/>
        <v>0</v>
      </c>
      <c r="W481" s="10"/>
      <c r="X481" s="58">
        <f t="shared" si="124"/>
        <v>163792.94999999998</v>
      </c>
      <c r="Y481" s="13">
        <f t="shared" si="119"/>
        <v>1.0499999999999998</v>
      </c>
      <c r="Z481" s="11">
        <f t="shared" si="120"/>
        <v>0</v>
      </c>
      <c r="AA481" s="10" t="s">
        <v>1725</v>
      </c>
      <c r="AB481" s="10" t="s">
        <v>1726</v>
      </c>
      <c r="AC481" s="2" t="s">
        <v>1727</v>
      </c>
    </row>
    <row r="482" spans="1:29" x14ac:dyDescent="0.3">
      <c r="A482" s="37">
        <v>567</v>
      </c>
      <c r="B482" s="37"/>
      <c r="C482" s="37">
        <v>5</v>
      </c>
      <c r="D482" s="37"/>
      <c r="E482" s="44">
        <v>18800</v>
      </c>
      <c r="F482" s="38">
        <f t="shared" si="125"/>
        <v>0</v>
      </c>
      <c r="G482" s="37"/>
      <c r="H482" s="38">
        <f t="shared" si="126"/>
        <v>0</v>
      </c>
      <c r="I482" s="67">
        <v>346</v>
      </c>
      <c r="J482" s="37" t="s">
        <v>397</v>
      </c>
      <c r="K482" s="37" t="s">
        <v>1960</v>
      </c>
      <c r="L482" s="37"/>
      <c r="M482" s="37"/>
      <c r="N482" s="36" t="s">
        <v>1736</v>
      </c>
      <c r="O482" s="37"/>
      <c r="P482" s="44">
        <v>30000</v>
      </c>
      <c r="Q482" s="45">
        <f t="shared" ref="Q482:Q545" si="127">(P482-E482)/E482</f>
        <v>0.5957446808510638</v>
      </c>
      <c r="R482" s="46">
        <f t="shared" ref="R482:R545" si="128">O482*P482</f>
        <v>0</v>
      </c>
      <c r="S482" s="37"/>
      <c r="T482" s="44">
        <f t="shared" si="123"/>
        <v>33840</v>
      </c>
      <c r="U482" s="45">
        <f t="shared" ref="U482:U545" si="129">(T482-E482)/E482</f>
        <v>0.8</v>
      </c>
      <c r="V482" s="38">
        <f t="shared" ref="V482:V545" si="130">S482*T482</f>
        <v>0</v>
      </c>
      <c r="W482" s="37"/>
      <c r="X482" s="44">
        <f t="shared" si="124"/>
        <v>38540</v>
      </c>
      <c r="Y482" s="45">
        <f t="shared" ref="Y482:Y545" si="131">(X482-E482)/E482</f>
        <v>1.05</v>
      </c>
      <c r="Z482" s="38">
        <f t="shared" ref="Z482:Z545" si="132">W482*X482</f>
        <v>0</v>
      </c>
      <c r="AA482" s="37" t="s">
        <v>1737</v>
      </c>
      <c r="AB482" s="37" t="s">
        <v>1738</v>
      </c>
      <c r="AC482" s="37"/>
    </row>
    <row r="483" spans="1:29" x14ac:dyDescent="0.3">
      <c r="A483" s="10">
        <v>260</v>
      </c>
      <c r="B483" s="2"/>
      <c r="C483" s="2">
        <v>1</v>
      </c>
      <c r="D483" s="10"/>
      <c r="E483" s="40">
        <v>6350</v>
      </c>
      <c r="F483" s="11">
        <f t="shared" si="125"/>
        <v>0</v>
      </c>
      <c r="G483" s="10"/>
      <c r="H483" s="11">
        <f t="shared" si="126"/>
        <v>0</v>
      </c>
      <c r="I483" s="66">
        <v>347</v>
      </c>
      <c r="J483" s="10" t="s">
        <v>397</v>
      </c>
      <c r="K483" s="10"/>
      <c r="L483" s="10"/>
      <c r="M483" s="10"/>
      <c r="N483" s="12" t="s">
        <v>1728</v>
      </c>
      <c r="O483" s="10"/>
      <c r="P483" s="58">
        <v>10100</v>
      </c>
      <c r="Q483" s="13">
        <f t="shared" si="127"/>
        <v>0.59055118110236215</v>
      </c>
      <c r="R483" s="11">
        <f t="shared" si="128"/>
        <v>0</v>
      </c>
      <c r="S483" s="10"/>
      <c r="T483" s="58">
        <f t="shared" si="123"/>
        <v>11430</v>
      </c>
      <c r="U483" s="13">
        <f t="shared" si="129"/>
        <v>0.8</v>
      </c>
      <c r="V483" s="11">
        <f t="shared" si="130"/>
        <v>0</v>
      </c>
      <c r="W483" s="10"/>
      <c r="X483" s="58">
        <f t="shared" si="124"/>
        <v>13017.499999999998</v>
      </c>
      <c r="Y483" s="13">
        <f t="shared" si="131"/>
        <v>1.0499999999999998</v>
      </c>
      <c r="Z483" s="11">
        <f t="shared" si="132"/>
        <v>0</v>
      </c>
      <c r="AA483" s="10" t="s">
        <v>1729</v>
      </c>
      <c r="AB483" s="10" t="s">
        <v>1730</v>
      </c>
      <c r="AC483" s="2" t="s">
        <v>1731</v>
      </c>
    </row>
    <row r="484" spans="1:29" x14ac:dyDescent="0.3">
      <c r="A484" s="37">
        <v>569</v>
      </c>
      <c r="B484" s="37"/>
      <c r="C484" s="37">
        <v>5</v>
      </c>
      <c r="D484" s="37"/>
      <c r="E484" s="44">
        <v>9300</v>
      </c>
      <c r="F484" s="38">
        <f t="shared" si="125"/>
        <v>0</v>
      </c>
      <c r="G484" s="37"/>
      <c r="H484" s="38">
        <f t="shared" si="126"/>
        <v>0</v>
      </c>
      <c r="I484" s="67">
        <v>348</v>
      </c>
      <c r="J484" s="37" t="s">
        <v>347</v>
      </c>
      <c r="K484" s="37" t="s">
        <v>1960</v>
      </c>
      <c r="L484" s="37"/>
      <c r="M484" s="37"/>
      <c r="N484" s="36" t="s">
        <v>1739</v>
      </c>
      <c r="O484" s="37"/>
      <c r="P484" s="44">
        <v>14800</v>
      </c>
      <c r="Q484" s="45">
        <f t="shared" si="127"/>
        <v>0.59139784946236562</v>
      </c>
      <c r="R484" s="46">
        <f t="shared" si="128"/>
        <v>0</v>
      </c>
      <c r="S484" s="37"/>
      <c r="T484" s="44">
        <f t="shared" si="123"/>
        <v>16740</v>
      </c>
      <c r="U484" s="45">
        <f t="shared" si="129"/>
        <v>0.8</v>
      </c>
      <c r="V484" s="38">
        <f t="shared" si="130"/>
        <v>0</v>
      </c>
      <c r="W484" s="37"/>
      <c r="X484" s="44">
        <f t="shared" si="124"/>
        <v>19065</v>
      </c>
      <c r="Y484" s="45">
        <f t="shared" si="131"/>
        <v>1.05</v>
      </c>
      <c r="Z484" s="38">
        <f t="shared" si="132"/>
        <v>0</v>
      </c>
      <c r="AA484" s="37" t="s">
        <v>1740</v>
      </c>
      <c r="AB484" s="37" t="s">
        <v>1741</v>
      </c>
      <c r="AC484" s="37"/>
    </row>
    <row r="485" spans="1:29" x14ac:dyDescent="0.3">
      <c r="A485" s="10">
        <v>261</v>
      </c>
      <c r="B485" s="2"/>
      <c r="C485" s="2">
        <v>1</v>
      </c>
      <c r="D485" s="10"/>
      <c r="E485" s="40">
        <v>11200</v>
      </c>
      <c r="F485" s="11">
        <f t="shared" si="125"/>
        <v>0</v>
      </c>
      <c r="G485" s="10"/>
      <c r="H485" s="11">
        <f t="shared" si="126"/>
        <v>0</v>
      </c>
      <c r="I485" s="66">
        <v>349</v>
      </c>
      <c r="J485" s="10" t="s">
        <v>397</v>
      </c>
      <c r="K485" s="10"/>
      <c r="L485" s="10"/>
      <c r="M485" s="10"/>
      <c r="N485" s="12" t="s">
        <v>1732</v>
      </c>
      <c r="O485" s="10"/>
      <c r="P485" s="58">
        <v>17900</v>
      </c>
      <c r="Q485" s="13">
        <f t="shared" si="127"/>
        <v>0.5982142857142857</v>
      </c>
      <c r="R485" s="11">
        <f t="shared" si="128"/>
        <v>0</v>
      </c>
      <c r="S485" s="10"/>
      <c r="T485" s="58">
        <f t="shared" si="123"/>
        <v>20160</v>
      </c>
      <c r="U485" s="13">
        <f t="shared" si="129"/>
        <v>0.8</v>
      </c>
      <c r="V485" s="11">
        <f t="shared" si="130"/>
        <v>0</v>
      </c>
      <c r="W485" s="10"/>
      <c r="X485" s="58">
        <f t="shared" si="124"/>
        <v>22959.999999999996</v>
      </c>
      <c r="Y485" s="13">
        <f t="shared" si="131"/>
        <v>1.0499999999999996</v>
      </c>
      <c r="Z485" s="11">
        <f t="shared" si="132"/>
        <v>0</v>
      </c>
      <c r="AA485" s="10" t="s">
        <v>1733</v>
      </c>
      <c r="AB485" s="10" t="s">
        <v>1734</v>
      </c>
      <c r="AC485" s="2" t="s">
        <v>1735</v>
      </c>
    </row>
    <row r="486" spans="1:29" x14ac:dyDescent="0.3">
      <c r="A486" s="10">
        <v>168</v>
      </c>
      <c r="B486" s="2"/>
      <c r="C486" s="2">
        <v>1</v>
      </c>
      <c r="D486" s="10"/>
      <c r="E486" s="40">
        <v>17900</v>
      </c>
      <c r="F486" s="11">
        <f t="shared" si="125"/>
        <v>0</v>
      </c>
      <c r="G486" s="10"/>
      <c r="H486" s="11">
        <f t="shared" si="126"/>
        <v>0</v>
      </c>
      <c r="I486" s="67">
        <v>350</v>
      </c>
      <c r="J486" s="10" t="s">
        <v>215</v>
      </c>
      <c r="K486" s="10"/>
      <c r="L486" s="10"/>
      <c r="M486" s="10"/>
      <c r="N486" s="12" t="s">
        <v>1742</v>
      </c>
      <c r="O486" s="10"/>
      <c r="P486" s="58">
        <v>28600</v>
      </c>
      <c r="Q486" s="13">
        <f t="shared" si="127"/>
        <v>0.5977653631284916</v>
      </c>
      <c r="R486" s="11">
        <f t="shared" si="128"/>
        <v>0</v>
      </c>
      <c r="S486" s="10"/>
      <c r="T486" s="58">
        <f t="shared" si="123"/>
        <v>32220</v>
      </c>
      <c r="U486" s="13">
        <f t="shared" si="129"/>
        <v>0.8</v>
      </c>
      <c r="V486" s="11">
        <f t="shared" si="130"/>
        <v>0</v>
      </c>
      <c r="W486" s="10"/>
      <c r="X486" s="58">
        <f t="shared" si="124"/>
        <v>36695</v>
      </c>
      <c r="Y486" s="13">
        <f t="shared" si="131"/>
        <v>1.05</v>
      </c>
      <c r="Z486" s="11">
        <f t="shared" si="132"/>
        <v>0</v>
      </c>
      <c r="AA486" s="10" t="s">
        <v>1743</v>
      </c>
      <c r="AB486" s="10" t="s">
        <v>1744</v>
      </c>
      <c r="AC486" s="2" t="s">
        <v>1745</v>
      </c>
    </row>
    <row r="487" spans="1:29" x14ac:dyDescent="0.3">
      <c r="A487" s="10">
        <v>251</v>
      </c>
      <c r="B487" s="2"/>
      <c r="C487" s="2">
        <v>1</v>
      </c>
      <c r="D487" s="10"/>
      <c r="E487" s="40">
        <v>21000</v>
      </c>
      <c r="F487" s="11">
        <f t="shared" si="125"/>
        <v>0</v>
      </c>
      <c r="G487" s="10"/>
      <c r="H487" s="11">
        <f t="shared" si="126"/>
        <v>0</v>
      </c>
      <c r="I487" s="66">
        <v>351</v>
      </c>
      <c r="J487" s="10" t="s">
        <v>397</v>
      </c>
      <c r="K487" s="10"/>
      <c r="L487" s="10"/>
      <c r="M487" s="10"/>
      <c r="N487" s="12" t="s">
        <v>1746</v>
      </c>
      <c r="O487" s="10"/>
      <c r="P487" s="58">
        <v>33600</v>
      </c>
      <c r="Q487" s="13">
        <f t="shared" si="127"/>
        <v>0.6</v>
      </c>
      <c r="R487" s="11">
        <f t="shared" si="128"/>
        <v>0</v>
      </c>
      <c r="S487" s="10"/>
      <c r="T487" s="58">
        <f t="shared" si="123"/>
        <v>37800</v>
      </c>
      <c r="U487" s="13">
        <f t="shared" si="129"/>
        <v>0.8</v>
      </c>
      <c r="V487" s="11">
        <f t="shared" si="130"/>
        <v>0</v>
      </c>
      <c r="W487" s="10"/>
      <c r="X487" s="58">
        <f t="shared" si="124"/>
        <v>43049.999999999993</v>
      </c>
      <c r="Y487" s="13">
        <f t="shared" si="131"/>
        <v>1.0499999999999996</v>
      </c>
      <c r="Z487" s="11">
        <f t="shared" si="132"/>
        <v>0</v>
      </c>
      <c r="AA487" s="10" t="s">
        <v>1747</v>
      </c>
      <c r="AB487" s="10" t="s">
        <v>1748</v>
      </c>
      <c r="AC487" s="2" t="s">
        <v>1749</v>
      </c>
    </row>
    <row r="488" spans="1:29" x14ac:dyDescent="0.3">
      <c r="A488" s="10">
        <v>252</v>
      </c>
      <c r="B488" s="2"/>
      <c r="C488" s="2">
        <v>1</v>
      </c>
      <c r="D488" s="10"/>
      <c r="E488" s="40">
        <v>18900</v>
      </c>
      <c r="F488" s="11">
        <f t="shared" si="125"/>
        <v>0</v>
      </c>
      <c r="G488" s="10"/>
      <c r="H488" s="11">
        <f t="shared" si="126"/>
        <v>0</v>
      </c>
      <c r="I488" s="67">
        <v>352</v>
      </c>
      <c r="J488" s="10" t="s">
        <v>397</v>
      </c>
      <c r="K488" s="10"/>
      <c r="L488" s="10"/>
      <c r="M488" s="10"/>
      <c r="N488" s="12" t="s">
        <v>1750</v>
      </c>
      <c r="O488" s="10"/>
      <c r="P488" s="58">
        <v>30200</v>
      </c>
      <c r="Q488" s="13">
        <f t="shared" si="127"/>
        <v>0.59788359788359791</v>
      </c>
      <c r="R488" s="11">
        <f t="shared" si="128"/>
        <v>0</v>
      </c>
      <c r="S488" s="10"/>
      <c r="T488" s="58">
        <f t="shared" si="123"/>
        <v>34020</v>
      </c>
      <c r="U488" s="13">
        <f t="shared" si="129"/>
        <v>0.8</v>
      </c>
      <c r="V488" s="11">
        <f t="shared" si="130"/>
        <v>0</v>
      </c>
      <c r="W488" s="10"/>
      <c r="X488" s="58">
        <f t="shared" si="124"/>
        <v>38745</v>
      </c>
      <c r="Y488" s="13">
        <f t="shared" si="131"/>
        <v>1.05</v>
      </c>
      <c r="Z488" s="11">
        <f t="shared" si="132"/>
        <v>0</v>
      </c>
      <c r="AA488" s="10" t="s">
        <v>1751</v>
      </c>
      <c r="AB488" s="10" t="s">
        <v>1752</v>
      </c>
      <c r="AC488" s="2" t="s">
        <v>1753</v>
      </c>
    </row>
    <row r="489" spans="1:29" x14ac:dyDescent="0.3">
      <c r="A489" s="10">
        <v>253</v>
      </c>
      <c r="B489" s="2"/>
      <c r="C489" s="2">
        <v>1</v>
      </c>
      <c r="D489" s="10"/>
      <c r="E489" s="40">
        <v>19300</v>
      </c>
      <c r="F489" s="11">
        <f t="shared" si="125"/>
        <v>0</v>
      </c>
      <c r="G489" s="10"/>
      <c r="H489" s="11">
        <f t="shared" si="126"/>
        <v>0</v>
      </c>
      <c r="I489" s="66">
        <v>353</v>
      </c>
      <c r="J489" s="10" t="s">
        <v>397</v>
      </c>
      <c r="K489" s="10"/>
      <c r="L489" s="10"/>
      <c r="M489" s="10"/>
      <c r="N489" s="12" t="s">
        <v>1754</v>
      </c>
      <c r="O489" s="10"/>
      <c r="P489" s="58">
        <v>30800</v>
      </c>
      <c r="Q489" s="13">
        <f t="shared" si="127"/>
        <v>0.59585492227979275</v>
      </c>
      <c r="R489" s="11">
        <f t="shared" si="128"/>
        <v>0</v>
      </c>
      <c r="S489" s="10"/>
      <c r="T489" s="58">
        <f t="shared" si="123"/>
        <v>34740</v>
      </c>
      <c r="U489" s="13">
        <f t="shared" si="129"/>
        <v>0.8</v>
      </c>
      <c r="V489" s="11">
        <f t="shared" si="130"/>
        <v>0</v>
      </c>
      <c r="W489" s="10"/>
      <c r="X489" s="58">
        <f t="shared" si="124"/>
        <v>39565</v>
      </c>
      <c r="Y489" s="13">
        <f t="shared" si="131"/>
        <v>1.05</v>
      </c>
      <c r="Z489" s="11">
        <f t="shared" si="132"/>
        <v>0</v>
      </c>
      <c r="AA489" s="10" t="s">
        <v>1755</v>
      </c>
      <c r="AB489" s="10" t="s">
        <v>1756</v>
      </c>
      <c r="AC489" s="2" t="s">
        <v>1757</v>
      </c>
    </row>
    <row r="490" spans="1:29" x14ac:dyDescent="0.3">
      <c r="A490" s="10">
        <v>254</v>
      </c>
      <c r="B490" s="2"/>
      <c r="C490" s="2">
        <v>1</v>
      </c>
      <c r="D490" s="10"/>
      <c r="E490" s="40">
        <v>15000</v>
      </c>
      <c r="F490" s="11">
        <f t="shared" si="125"/>
        <v>0</v>
      </c>
      <c r="G490" s="10"/>
      <c r="H490" s="11">
        <f t="shared" si="126"/>
        <v>0</v>
      </c>
      <c r="I490" s="67">
        <v>354</v>
      </c>
      <c r="J490" s="10" t="s">
        <v>397</v>
      </c>
      <c r="K490" s="10"/>
      <c r="L490" s="10"/>
      <c r="M490" s="10"/>
      <c r="N490" s="12" t="s">
        <v>1372</v>
      </c>
      <c r="O490" s="10"/>
      <c r="P490" s="58">
        <v>24000</v>
      </c>
      <c r="Q490" s="13">
        <f t="shared" si="127"/>
        <v>0.6</v>
      </c>
      <c r="R490" s="11">
        <f t="shared" si="128"/>
        <v>0</v>
      </c>
      <c r="S490" s="10"/>
      <c r="T490" s="58">
        <f t="shared" si="123"/>
        <v>27000</v>
      </c>
      <c r="U490" s="13">
        <f t="shared" si="129"/>
        <v>0.8</v>
      </c>
      <c r="V490" s="11">
        <f t="shared" si="130"/>
        <v>0</v>
      </c>
      <c r="W490" s="10"/>
      <c r="X490" s="58">
        <f t="shared" si="124"/>
        <v>30749.999999999996</v>
      </c>
      <c r="Y490" s="13">
        <f t="shared" si="131"/>
        <v>1.0499999999999998</v>
      </c>
      <c r="Z490" s="11">
        <f t="shared" si="132"/>
        <v>0</v>
      </c>
      <c r="AA490" s="10" t="s">
        <v>1373</v>
      </c>
      <c r="AB490" s="10" t="s">
        <v>1758</v>
      </c>
      <c r="AC490" s="2" t="s">
        <v>1759</v>
      </c>
    </row>
    <row r="491" spans="1:29" x14ac:dyDescent="0.3">
      <c r="A491" s="49">
        <v>54</v>
      </c>
      <c r="B491" s="49">
        <v>119</v>
      </c>
      <c r="C491" s="49">
        <v>4</v>
      </c>
      <c r="D491" s="49">
        <v>2</v>
      </c>
      <c r="E491" s="50">
        <v>12499</v>
      </c>
      <c r="F491" s="51">
        <f t="shared" si="125"/>
        <v>24998</v>
      </c>
      <c r="G491" s="49"/>
      <c r="H491" s="51">
        <f t="shared" si="126"/>
        <v>0</v>
      </c>
      <c r="I491" s="66">
        <v>355</v>
      </c>
      <c r="J491" s="51" t="s">
        <v>397</v>
      </c>
      <c r="K491" s="51"/>
      <c r="L491" s="51" t="s">
        <v>517</v>
      </c>
      <c r="M491" s="51"/>
      <c r="N491" s="56" t="s">
        <v>1763</v>
      </c>
      <c r="O491" s="49">
        <v>2</v>
      </c>
      <c r="P491" s="60">
        <v>20000</v>
      </c>
      <c r="Q491" s="53">
        <f t="shared" si="127"/>
        <v>0.6001280102408193</v>
      </c>
      <c r="R491" s="54">
        <f t="shared" si="128"/>
        <v>40000</v>
      </c>
      <c r="S491" s="49"/>
      <c r="T491" s="50">
        <v>22000</v>
      </c>
      <c r="U491" s="53">
        <f t="shared" si="129"/>
        <v>0.76014081126490118</v>
      </c>
      <c r="V491" s="51">
        <f t="shared" si="130"/>
        <v>0</v>
      </c>
      <c r="W491" s="49"/>
      <c r="X491" s="50">
        <v>26000</v>
      </c>
      <c r="Y491" s="53">
        <f t="shared" si="131"/>
        <v>1.0801664133130651</v>
      </c>
      <c r="Z491" s="51">
        <f t="shared" si="132"/>
        <v>0</v>
      </c>
      <c r="AA491" s="49" t="s">
        <v>1764</v>
      </c>
      <c r="AB491" s="49"/>
      <c r="AC491" s="49"/>
    </row>
    <row r="492" spans="1:29" x14ac:dyDescent="0.3">
      <c r="A492" s="10">
        <v>255</v>
      </c>
      <c r="B492" s="2"/>
      <c r="C492" s="2">
        <v>1</v>
      </c>
      <c r="D492" s="10"/>
      <c r="E492" s="40">
        <v>18900</v>
      </c>
      <c r="F492" s="11">
        <f t="shared" si="125"/>
        <v>0</v>
      </c>
      <c r="G492" s="10"/>
      <c r="H492" s="11">
        <f t="shared" si="126"/>
        <v>0</v>
      </c>
      <c r="I492" s="67">
        <v>356</v>
      </c>
      <c r="J492" s="10" t="s">
        <v>397</v>
      </c>
      <c r="K492" s="10"/>
      <c r="L492" s="10"/>
      <c r="M492" s="10"/>
      <c r="N492" s="12" t="s">
        <v>1760</v>
      </c>
      <c r="O492" s="10"/>
      <c r="P492" s="58">
        <v>30200</v>
      </c>
      <c r="Q492" s="13">
        <f t="shared" si="127"/>
        <v>0.59788359788359791</v>
      </c>
      <c r="R492" s="11">
        <f t="shared" si="128"/>
        <v>0</v>
      </c>
      <c r="S492" s="10"/>
      <c r="T492" s="58">
        <f>E492*1.8</f>
        <v>34020</v>
      </c>
      <c r="U492" s="13">
        <f t="shared" si="129"/>
        <v>0.8</v>
      </c>
      <c r="V492" s="11">
        <f t="shared" si="130"/>
        <v>0</v>
      </c>
      <c r="W492" s="10"/>
      <c r="X492" s="58">
        <f>E492*2.05</f>
        <v>38745</v>
      </c>
      <c r="Y492" s="13">
        <f t="shared" si="131"/>
        <v>1.05</v>
      </c>
      <c r="Z492" s="11">
        <f t="shared" si="132"/>
        <v>0</v>
      </c>
      <c r="AA492" s="10" t="s">
        <v>1761</v>
      </c>
      <c r="AB492" s="10" t="s">
        <v>1762</v>
      </c>
      <c r="AC492" s="2"/>
    </row>
    <row r="493" spans="1:29" x14ac:dyDescent="0.3">
      <c r="A493" s="5">
        <v>40</v>
      </c>
      <c r="B493" s="5">
        <v>102</v>
      </c>
      <c r="C493" s="5">
        <v>3</v>
      </c>
      <c r="D493" s="5">
        <v>2</v>
      </c>
      <c r="E493" s="41">
        <v>14100</v>
      </c>
      <c r="F493" s="29">
        <f t="shared" si="125"/>
        <v>28200</v>
      </c>
      <c r="G493" s="5"/>
      <c r="H493" s="29">
        <f t="shared" si="126"/>
        <v>0</v>
      </c>
      <c r="I493" s="66">
        <v>357</v>
      </c>
      <c r="J493" s="5" t="s">
        <v>397</v>
      </c>
      <c r="K493" s="5"/>
      <c r="L493" s="5"/>
      <c r="M493" s="5" t="s">
        <v>518</v>
      </c>
      <c r="N493" s="6" t="s">
        <v>1765</v>
      </c>
      <c r="O493" s="5">
        <v>2</v>
      </c>
      <c r="P493" s="72">
        <v>20000</v>
      </c>
      <c r="Q493" s="33">
        <f t="shared" si="127"/>
        <v>0.41843971631205673</v>
      </c>
      <c r="R493" s="32">
        <f t="shared" si="128"/>
        <v>40000</v>
      </c>
      <c r="S493" s="5"/>
      <c r="T493" s="41">
        <v>25000</v>
      </c>
      <c r="U493" s="33">
        <f t="shared" si="129"/>
        <v>0.77304964539007093</v>
      </c>
      <c r="V493" s="29">
        <f t="shared" si="130"/>
        <v>0</v>
      </c>
      <c r="W493" s="5"/>
      <c r="X493" s="41">
        <v>29000</v>
      </c>
      <c r="Y493" s="33">
        <f t="shared" si="131"/>
        <v>1.0567375886524824</v>
      </c>
      <c r="Z493" s="29">
        <f t="shared" si="132"/>
        <v>0</v>
      </c>
      <c r="AA493" s="5" t="s">
        <v>1766</v>
      </c>
      <c r="AB493" s="5" t="s">
        <v>1767</v>
      </c>
      <c r="AC493" s="5" t="s">
        <v>1768</v>
      </c>
    </row>
    <row r="494" spans="1:29" x14ac:dyDescent="0.3">
      <c r="A494" s="5">
        <v>41</v>
      </c>
      <c r="B494" s="5">
        <v>16</v>
      </c>
      <c r="C494" s="5">
        <v>3</v>
      </c>
      <c r="D494" s="5">
        <v>1</v>
      </c>
      <c r="E494" s="41">
        <v>10894</v>
      </c>
      <c r="F494" s="29">
        <f t="shared" si="125"/>
        <v>10894</v>
      </c>
      <c r="G494" s="5"/>
      <c r="H494" s="29">
        <f t="shared" si="126"/>
        <v>0</v>
      </c>
      <c r="I494" s="67">
        <v>358</v>
      </c>
      <c r="J494" s="5" t="s">
        <v>397</v>
      </c>
      <c r="K494" s="5"/>
      <c r="L494" s="5"/>
      <c r="M494" s="5"/>
      <c r="N494" s="6" t="s">
        <v>1777</v>
      </c>
      <c r="O494" s="5">
        <v>1</v>
      </c>
      <c r="P494" s="59">
        <v>17000</v>
      </c>
      <c r="Q494" s="33">
        <f t="shared" si="127"/>
        <v>0.56049201395263448</v>
      </c>
      <c r="R494" s="32">
        <f t="shared" si="128"/>
        <v>17000</v>
      </c>
      <c r="S494" s="5"/>
      <c r="T494" s="41">
        <v>19000</v>
      </c>
      <c r="U494" s="33">
        <f t="shared" si="129"/>
        <v>0.74407930971176794</v>
      </c>
      <c r="V494" s="29">
        <f t="shared" si="130"/>
        <v>0</v>
      </c>
      <c r="W494" s="5"/>
      <c r="X494" s="41">
        <v>22000</v>
      </c>
      <c r="Y494" s="33">
        <f t="shared" si="131"/>
        <v>1.0194602533504682</v>
      </c>
      <c r="Z494" s="29">
        <f t="shared" si="132"/>
        <v>0</v>
      </c>
      <c r="AA494" s="5" t="s">
        <v>1778</v>
      </c>
      <c r="AB494" s="5" t="s">
        <v>1779</v>
      </c>
      <c r="AC494" s="5"/>
    </row>
    <row r="495" spans="1:29" x14ac:dyDescent="0.3">
      <c r="A495" s="5">
        <v>42</v>
      </c>
      <c r="B495" s="5">
        <v>101</v>
      </c>
      <c r="C495" s="5">
        <v>3</v>
      </c>
      <c r="D495" s="5">
        <v>4</v>
      </c>
      <c r="E495" s="41">
        <v>6500</v>
      </c>
      <c r="F495" s="29">
        <f t="shared" si="125"/>
        <v>26000</v>
      </c>
      <c r="G495" s="5"/>
      <c r="H495" s="29">
        <f t="shared" si="126"/>
        <v>0</v>
      </c>
      <c r="I495" s="66">
        <v>359</v>
      </c>
      <c r="J495" s="5" t="s">
        <v>397</v>
      </c>
      <c r="K495" s="5"/>
      <c r="L495" s="5"/>
      <c r="M495" s="5"/>
      <c r="N495" s="6" t="s">
        <v>1780</v>
      </c>
      <c r="O495" s="5">
        <v>4</v>
      </c>
      <c r="P495" s="59">
        <v>9800</v>
      </c>
      <c r="Q495" s="33">
        <f t="shared" si="127"/>
        <v>0.50769230769230766</v>
      </c>
      <c r="R495" s="32">
        <f t="shared" si="128"/>
        <v>39200</v>
      </c>
      <c r="S495" s="5"/>
      <c r="T495" s="41">
        <v>11500</v>
      </c>
      <c r="U495" s="33">
        <f t="shared" si="129"/>
        <v>0.76923076923076927</v>
      </c>
      <c r="V495" s="29">
        <f t="shared" si="130"/>
        <v>0</v>
      </c>
      <c r="W495" s="5"/>
      <c r="X495" s="41">
        <v>13000</v>
      </c>
      <c r="Y495" s="33">
        <f t="shared" si="131"/>
        <v>1</v>
      </c>
      <c r="Z495" s="29">
        <f t="shared" si="132"/>
        <v>0</v>
      </c>
      <c r="AA495" s="5" t="s">
        <v>1781</v>
      </c>
      <c r="AB495" s="5" t="s">
        <v>1782</v>
      </c>
      <c r="AC495" s="5"/>
    </row>
    <row r="496" spans="1:29" x14ac:dyDescent="0.3">
      <c r="A496" s="5">
        <v>43</v>
      </c>
      <c r="B496" s="5">
        <v>100</v>
      </c>
      <c r="C496" s="5">
        <v>3</v>
      </c>
      <c r="D496" s="5">
        <v>5</v>
      </c>
      <c r="E496" s="41">
        <v>7000</v>
      </c>
      <c r="F496" s="29">
        <f t="shared" si="125"/>
        <v>35000</v>
      </c>
      <c r="G496" s="5"/>
      <c r="H496" s="29">
        <f t="shared" si="126"/>
        <v>0</v>
      </c>
      <c r="I496" s="67">
        <v>360</v>
      </c>
      <c r="J496" s="5" t="s">
        <v>397</v>
      </c>
      <c r="K496" s="5"/>
      <c r="L496" s="5"/>
      <c r="M496" s="5"/>
      <c r="N496" s="6" t="s">
        <v>1783</v>
      </c>
      <c r="O496" s="5">
        <v>5</v>
      </c>
      <c r="P496" s="59">
        <v>10500</v>
      </c>
      <c r="Q496" s="33">
        <f t="shared" si="127"/>
        <v>0.5</v>
      </c>
      <c r="R496" s="32">
        <f t="shared" si="128"/>
        <v>52500</v>
      </c>
      <c r="S496" s="5"/>
      <c r="T496" s="41">
        <v>12000</v>
      </c>
      <c r="U496" s="33">
        <f t="shared" si="129"/>
        <v>0.7142857142857143</v>
      </c>
      <c r="V496" s="29">
        <f t="shared" si="130"/>
        <v>0</v>
      </c>
      <c r="W496" s="5"/>
      <c r="X496" s="41">
        <v>14000</v>
      </c>
      <c r="Y496" s="33">
        <f t="shared" si="131"/>
        <v>1</v>
      </c>
      <c r="Z496" s="29">
        <f t="shared" si="132"/>
        <v>0</v>
      </c>
      <c r="AA496" s="5" t="s">
        <v>1784</v>
      </c>
      <c r="AB496" s="5" t="s">
        <v>1785</v>
      </c>
      <c r="AC496" s="5" t="s">
        <v>1786</v>
      </c>
    </row>
    <row r="497" spans="1:29" x14ac:dyDescent="0.3">
      <c r="A497" s="10">
        <v>273</v>
      </c>
      <c r="B497" s="2"/>
      <c r="C497" s="2">
        <v>1</v>
      </c>
      <c r="D497" s="10"/>
      <c r="E497" s="40">
        <v>18999</v>
      </c>
      <c r="F497" s="11">
        <f t="shared" si="125"/>
        <v>0</v>
      </c>
      <c r="G497" s="10"/>
      <c r="H497" s="11">
        <f t="shared" si="126"/>
        <v>0</v>
      </c>
      <c r="I497" s="66">
        <v>361</v>
      </c>
      <c r="J497" s="10" t="s">
        <v>397</v>
      </c>
      <c r="K497" s="10"/>
      <c r="L497" s="10"/>
      <c r="M497" s="10"/>
      <c r="N497" s="12" t="s">
        <v>1769</v>
      </c>
      <c r="O497" s="10"/>
      <c r="P497" s="58">
        <v>30300</v>
      </c>
      <c r="Q497" s="13">
        <f t="shared" si="127"/>
        <v>0.59482078004105476</v>
      </c>
      <c r="R497" s="11">
        <f t="shared" si="128"/>
        <v>0</v>
      </c>
      <c r="S497" s="10"/>
      <c r="T497" s="58">
        <f>E497*1.8</f>
        <v>34198.200000000004</v>
      </c>
      <c r="U497" s="13">
        <f t="shared" si="129"/>
        <v>0.80000000000000027</v>
      </c>
      <c r="V497" s="11">
        <f t="shared" si="130"/>
        <v>0</v>
      </c>
      <c r="W497" s="10"/>
      <c r="X497" s="58">
        <f>E497*2.05</f>
        <v>38947.949999999997</v>
      </c>
      <c r="Y497" s="13">
        <f t="shared" si="131"/>
        <v>1.0499999999999998</v>
      </c>
      <c r="Z497" s="11">
        <f t="shared" si="132"/>
        <v>0</v>
      </c>
      <c r="AA497" s="10" t="s">
        <v>1770</v>
      </c>
      <c r="AB497" s="10" t="s">
        <v>1771</v>
      </c>
      <c r="AC497" s="2" t="s">
        <v>1772</v>
      </c>
    </row>
    <row r="498" spans="1:29" x14ac:dyDescent="0.3">
      <c r="A498" s="10">
        <v>274</v>
      </c>
      <c r="B498" s="2"/>
      <c r="C498" s="2">
        <v>1</v>
      </c>
      <c r="D498" s="10"/>
      <c r="E498" s="40">
        <v>21000</v>
      </c>
      <c r="F498" s="11">
        <f t="shared" si="125"/>
        <v>0</v>
      </c>
      <c r="G498" s="10"/>
      <c r="H498" s="11">
        <f t="shared" si="126"/>
        <v>0</v>
      </c>
      <c r="I498" s="67">
        <v>362</v>
      </c>
      <c r="J498" s="10" t="s">
        <v>397</v>
      </c>
      <c r="K498" s="10"/>
      <c r="L498" s="10"/>
      <c r="M498" s="10"/>
      <c r="N498" s="12" t="s">
        <v>1773</v>
      </c>
      <c r="O498" s="10"/>
      <c r="P498" s="58">
        <v>33600</v>
      </c>
      <c r="Q498" s="13">
        <f t="shared" si="127"/>
        <v>0.6</v>
      </c>
      <c r="R498" s="11">
        <f t="shared" si="128"/>
        <v>0</v>
      </c>
      <c r="S498" s="10"/>
      <c r="T498" s="58">
        <f>E498*1.8</f>
        <v>37800</v>
      </c>
      <c r="U498" s="13">
        <f t="shared" si="129"/>
        <v>0.8</v>
      </c>
      <c r="V498" s="11">
        <f t="shared" si="130"/>
        <v>0</v>
      </c>
      <c r="W498" s="10"/>
      <c r="X498" s="58">
        <f>E498*2.05</f>
        <v>43049.999999999993</v>
      </c>
      <c r="Y498" s="13">
        <f t="shared" si="131"/>
        <v>1.0499999999999996</v>
      </c>
      <c r="Z498" s="11">
        <f t="shared" si="132"/>
        <v>0</v>
      </c>
      <c r="AA498" s="10" t="s">
        <v>1774</v>
      </c>
      <c r="AB498" s="10" t="s">
        <v>1775</v>
      </c>
      <c r="AC498" s="2" t="s">
        <v>1776</v>
      </c>
    </row>
    <row r="499" spans="1:29" x14ac:dyDescent="0.3">
      <c r="A499" s="37">
        <v>574</v>
      </c>
      <c r="B499" s="37"/>
      <c r="C499" s="37">
        <v>5</v>
      </c>
      <c r="D499" s="37"/>
      <c r="E499" s="44">
        <v>4300</v>
      </c>
      <c r="F499" s="38">
        <f t="shared" si="125"/>
        <v>0</v>
      </c>
      <c r="G499" s="37"/>
      <c r="H499" s="38">
        <f t="shared" si="126"/>
        <v>0</v>
      </c>
      <c r="I499" s="66">
        <v>363</v>
      </c>
      <c r="J499" s="37" t="s">
        <v>117</v>
      </c>
      <c r="K499" s="37" t="s">
        <v>1960</v>
      </c>
      <c r="L499" s="37"/>
      <c r="M499" s="37"/>
      <c r="N499" s="36" t="s">
        <v>1795</v>
      </c>
      <c r="O499" s="37"/>
      <c r="P499" s="44">
        <v>6800</v>
      </c>
      <c r="Q499" s="45">
        <f t="shared" si="127"/>
        <v>0.58139534883720934</v>
      </c>
      <c r="R499" s="46">
        <f t="shared" si="128"/>
        <v>0</v>
      </c>
      <c r="S499" s="37"/>
      <c r="T499" s="44">
        <f>E499*1.8</f>
        <v>7740</v>
      </c>
      <c r="U499" s="45">
        <f t="shared" si="129"/>
        <v>0.8</v>
      </c>
      <c r="V499" s="38">
        <f t="shared" si="130"/>
        <v>0</v>
      </c>
      <c r="W499" s="37"/>
      <c r="X499" s="44">
        <f>E499*2.05</f>
        <v>8815</v>
      </c>
      <c r="Y499" s="45">
        <f t="shared" si="131"/>
        <v>1.05</v>
      </c>
      <c r="Z499" s="38">
        <f t="shared" si="132"/>
        <v>0</v>
      </c>
      <c r="AA499" s="37" t="s">
        <v>1796</v>
      </c>
      <c r="AB499" s="37" t="s">
        <v>1797</v>
      </c>
      <c r="AC499" s="37"/>
    </row>
    <row r="500" spans="1:29" x14ac:dyDescent="0.3">
      <c r="A500" s="10">
        <v>279</v>
      </c>
      <c r="B500" s="2"/>
      <c r="C500" s="2">
        <v>1</v>
      </c>
      <c r="D500" s="10"/>
      <c r="E500" s="40">
        <v>24000</v>
      </c>
      <c r="F500" s="11">
        <f t="shared" si="125"/>
        <v>0</v>
      </c>
      <c r="G500" s="10"/>
      <c r="H500" s="11">
        <f t="shared" si="126"/>
        <v>0</v>
      </c>
      <c r="I500" s="67">
        <v>364</v>
      </c>
      <c r="J500" s="10" t="s">
        <v>397</v>
      </c>
      <c r="K500" s="10"/>
      <c r="L500" s="10"/>
      <c r="M500" s="10"/>
      <c r="N500" s="12" t="s">
        <v>1787</v>
      </c>
      <c r="O500" s="10"/>
      <c r="P500" s="58">
        <v>38400</v>
      </c>
      <c r="Q500" s="13">
        <f t="shared" si="127"/>
        <v>0.6</v>
      </c>
      <c r="R500" s="11">
        <f t="shared" si="128"/>
        <v>0</v>
      </c>
      <c r="S500" s="10"/>
      <c r="T500" s="58">
        <f>E500*1.8</f>
        <v>43200</v>
      </c>
      <c r="U500" s="13">
        <f t="shared" si="129"/>
        <v>0.8</v>
      </c>
      <c r="V500" s="11">
        <f t="shared" si="130"/>
        <v>0</v>
      </c>
      <c r="W500" s="10"/>
      <c r="X500" s="58">
        <f>E500*2.05</f>
        <v>49199.999999999993</v>
      </c>
      <c r="Y500" s="13">
        <f t="shared" si="131"/>
        <v>1.0499999999999996</v>
      </c>
      <c r="Z500" s="11">
        <f t="shared" si="132"/>
        <v>0</v>
      </c>
      <c r="AA500" s="10" t="s">
        <v>1788</v>
      </c>
      <c r="AB500" s="10" t="s">
        <v>1789</v>
      </c>
      <c r="AC500" s="2" t="s">
        <v>1790</v>
      </c>
    </row>
    <row r="501" spans="1:29" x14ac:dyDescent="0.3">
      <c r="A501" s="10">
        <v>280</v>
      </c>
      <c r="B501" s="2"/>
      <c r="C501" s="2">
        <v>1</v>
      </c>
      <c r="D501" s="10"/>
      <c r="E501" s="40">
        <v>17799</v>
      </c>
      <c r="F501" s="11">
        <f t="shared" si="125"/>
        <v>0</v>
      </c>
      <c r="G501" s="10"/>
      <c r="H501" s="11">
        <f t="shared" si="126"/>
        <v>0</v>
      </c>
      <c r="I501" s="66">
        <v>365</v>
      </c>
      <c r="J501" s="10" t="s">
        <v>397</v>
      </c>
      <c r="K501" s="10"/>
      <c r="L501" s="10"/>
      <c r="M501" s="10"/>
      <c r="N501" s="12" t="s">
        <v>1791</v>
      </c>
      <c r="O501" s="10"/>
      <c r="P501" s="58">
        <v>28400</v>
      </c>
      <c r="Q501" s="13">
        <f t="shared" si="127"/>
        <v>0.5955952581605708</v>
      </c>
      <c r="R501" s="11">
        <f t="shared" si="128"/>
        <v>0</v>
      </c>
      <c r="S501" s="10"/>
      <c r="T501" s="58">
        <f>E501*1.8</f>
        <v>32038.2</v>
      </c>
      <c r="U501" s="13">
        <f t="shared" si="129"/>
        <v>0.8</v>
      </c>
      <c r="V501" s="11">
        <f t="shared" si="130"/>
        <v>0</v>
      </c>
      <c r="W501" s="10"/>
      <c r="X501" s="58">
        <f>E501*2.05</f>
        <v>36487.949999999997</v>
      </c>
      <c r="Y501" s="13">
        <f t="shared" si="131"/>
        <v>1.0499999999999998</v>
      </c>
      <c r="Z501" s="11">
        <f t="shared" si="132"/>
        <v>0</v>
      </c>
      <c r="AA501" s="10" t="s">
        <v>1792</v>
      </c>
      <c r="AB501" s="10" t="s">
        <v>1793</v>
      </c>
      <c r="AC501" s="2" t="s">
        <v>1794</v>
      </c>
    </row>
    <row r="502" spans="1:29" x14ac:dyDescent="0.3">
      <c r="A502" s="49">
        <v>50</v>
      </c>
      <c r="B502" s="49">
        <v>81</v>
      </c>
      <c r="C502" s="49">
        <v>4</v>
      </c>
      <c r="D502" s="49">
        <v>3</v>
      </c>
      <c r="E502" s="50">
        <v>3299</v>
      </c>
      <c r="F502" s="51">
        <f t="shared" si="125"/>
        <v>9897</v>
      </c>
      <c r="G502" s="49"/>
      <c r="H502" s="51">
        <f t="shared" si="126"/>
        <v>0</v>
      </c>
      <c r="I502" s="67">
        <v>366</v>
      </c>
      <c r="J502" s="51" t="s">
        <v>397</v>
      </c>
      <c r="K502" s="51"/>
      <c r="L502" s="51" t="s">
        <v>517</v>
      </c>
      <c r="M502" s="51"/>
      <c r="N502" s="52" t="s">
        <v>1802</v>
      </c>
      <c r="O502" s="49">
        <v>3</v>
      </c>
      <c r="P502" s="60">
        <v>5000</v>
      </c>
      <c r="Q502" s="53">
        <f t="shared" si="127"/>
        <v>0.51561079114883301</v>
      </c>
      <c r="R502" s="54">
        <f t="shared" si="128"/>
        <v>15000</v>
      </c>
      <c r="S502" s="49"/>
      <c r="T502" s="50">
        <v>5800</v>
      </c>
      <c r="U502" s="53">
        <f t="shared" si="129"/>
        <v>0.7581085177326462</v>
      </c>
      <c r="V502" s="51">
        <f t="shared" si="130"/>
        <v>0</v>
      </c>
      <c r="W502" s="49"/>
      <c r="X502" s="50">
        <v>6700</v>
      </c>
      <c r="Y502" s="53">
        <f t="shared" si="131"/>
        <v>1.0309184601394361</v>
      </c>
      <c r="Z502" s="51">
        <f t="shared" si="132"/>
        <v>0</v>
      </c>
      <c r="AA502" s="49" t="s">
        <v>1803</v>
      </c>
      <c r="AB502" s="49"/>
      <c r="AC502" s="49"/>
    </row>
    <row r="503" spans="1:29" x14ac:dyDescent="0.3">
      <c r="A503" s="10">
        <v>262</v>
      </c>
      <c r="B503" s="2"/>
      <c r="C503" s="2">
        <v>1</v>
      </c>
      <c r="D503" s="10"/>
      <c r="E503" s="40">
        <v>3500</v>
      </c>
      <c r="F503" s="11">
        <f t="shared" si="125"/>
        <v>0</v>
      </c>
      <c r="G503" s="10"/>
      <c r="H503" s="11">
        <f t="shared" si="126"/>
        <v>0</v>
      </c>
      <c r="I503" s="66">
        <v>367</v>
      </c>
      <c r="J503" s="10" t="s">
        <v>397</v>
      </c>
      <c r="K503" s="10"/>
      <c r="L503" s="10"/>
      <c r="M503" s="10"/>
      <c r="N503" s="12" t="s">
        <v>1798</v>
      </c>
      <c r="O503" s="10"/>
      <c r="P503" s="58">
        <v>5600</v>
      </c>
      <c r="Q503" s="13">
        <f t="shared" si="127"/>
        <v>0.6</v>
      </c>
      <c r="R503" s="11">
        <f t="shared" si="128"/>
        <v>0</v>
      </c>
      <c r="S503" s="10"/>
      <c r="T503" s="58">
        <f>E503*1.8</f>
        <v>6300</v>
      </c>
      <c r="U503" s="13">
        <f t="shared" si="129"/>
        <v>0.8</v>
      </c>
      <c r="V503" s="11">
        <f t="shared" si="130"/>
        <v>0</v>
      </c>
      <c r="W503" s="10"/>
      <c r="X503" s="58">
        <f>E503*2.05</f>
        <v>7174.9999999999991</v>
      </c>
      <c r="Y503" s="13">
        <f t="shared" si="131"/>
        <v>1.0499999999999998</v>
      </c>
      <c r="Z503" s="11">
        <f t="shared" si="132"/>
        <v>0</v>
      </c>
      <c r="AA503" s="10" t="s">
        <v>1799</v>
      </c>
      <c r="AB503" s="10" t="s">
        <v>1800</v>
      </c>
      <c r="AC503" s="2" t="s">
        <v>1801</v>
      </c>
    </row>
    <row r="504" spans="1:29" x14ac:dyDescent="0.3">
      <c r="A504" s="5">
        <v>45</v>
      </c>
      <c r="B504" s="5">
        <v>75</v>
      </c>
      <c r="C504" s="5">
        <v>3</v>
      </c>
      <c r="D504" s="5">
        <v>9</v>
      </c>
      <c r="E504" s="41">
        <v>460</v>
      </c>
      <c r="F504" s="29">
        <f t="shared" si="125"/>
        <v>4140</v>
      </c>
      <c r="G504" s="5"/>
      <c r="H504" s="29">
        <f t="shared" si="126"/>
        <v>0</v>
      </c>
      <c r="I504" s="67">
        <v>368</v>
      </c>
      <c r="J504" s="5" t="s">
        <v>397</v>
      </c>
      <c r="K504" s="5"/>
      <c r="L504" s="5"/>
      <c r="M504" s="5"/>
      <c r="N504" s="6" t="s">
        <v>1804</v>
      </c>
      <c r="O504" s="5">
        <v>9</v>
      </c>
      <c r="P504" s="41">
        <v>1000</v>
      </c>
      <c r="Q504" s="33">
        <f t="shared" si="127"/>
        <v>1.173913043478261</v>
      </c>
      <c r="R504" s="32">
        <f t="shared" si="128"/>
        <v>9000</v>
      </c>
      <c r="S504" s="5"/>
      <c r="T504" s="41">
        <v>900</v>
      </c>
      <c r="U504" s="33">
        <f t="shared" si="129"/>
        <v>0.95652173913043481</v>
      </c>
      <c r="V504" s="29">
        <f t="shared" si="130"/>
        <v>0</v>
      </c>
      <c r="W504" s="5"/>
      <c r="X504" s="41">
        <v>1200</v>
      </c>
      <c r="Y504" s="33">
        <f t="shared" si="131"/>
        <v>1.6086956521739131</v>
      </c>
      <c r="Z504" s="29">
        <f t="shared" si="132"/>
        <v>0</v>
      </c>
      <c r="AA504" s="5" t="s">
        <v>1805</v>
      </c>
      <c r="AB504" s="5" t="s">
        <v>1806</v>
      </c>
      <c r="AC504" s="5"/>
    </row>
    <row r="505" spans="1:29" x14ac:dyDescent="0.3">
      <c r="A505" s="5">
        <v>46</v>
      </c>
      <c r="B505" s="5">
        <v>76</v>
      </c>
      <c r="C505" s="5">
        <v>3</v>
      </c>
      <c r="D505" s="5">
        <v>8</v>
      </c>
      <c r="E505" s="41">
        <v>460</v>
      </c>
      <c r="F505" s="29">
        <f t="shared" si="125"/>
        <v>3680</v>
      </c>
      <c r="G505" s="5"/>
      <c r="H505" s="29">
        <f t="shared" si="126"/>
        <v>0</v>
      </c>
      <c r="I505" s="66">
        <v>369</v>
      </c>
      <c r="J505" s="5" t="s">
        <v>397</v>
      </c>
      <c r="K505" s="5"/>
      <c r="L505" s="5"/>
      <c r="M505" s="5"/>
      <c r="N505" s="6" t="s">
        <v>1807</v>
      </c>
      <c r="O505" s="5">
        <v>8</v>
      </c>
      <c r="P505" s="41">
        <v>1000</v>
      </c>
      <c r="Q505" s="31">
        <f t="shared" si="127"/>
        <v>1.173913043478261</v>
      </c>
      <c r="R505" s="32">
        <f t="shared" si="128"/>
        <v>8000</v>
      </c>
      <c r="S505" s="5"/>
      <c r="T505" s="41">
        <v>1000</v>
      </c>
      <c r="U505" s="33">
        <f t="shared" si="129"/>
        <v>1.173913043478261</v>
      </c>
      <c r="V505" s="29">
        <f t="shared" si="130"/>
        <v>0</v>
      </c>
      <c r="W505" s="5"/>
      <c r="X505" s="41">
        <v>1200</v>
      </c>
      <c r="Y505" s="33">
        <f t="shared" si="131"/>
        <v>1.6086956521739131</v>
      </c>
      <c r="Z505" s="29">
        <f t="shared" si="132"/>
        <v>0</v>
      </c>
      <c r="AA505" s="5" t="s">
        <v>1808</v>
      </c>
      <c r="AB505" s="5" t="s">
        <v>1809</v>
      </c>
      <c r="AC505" s="5"/>
    </row>
    <row r="506" spans="1:29" x14ac:dyDescent="0.3">
      <c r="A506" s="49">
        <v>49</v>
      </c>
      <c r="B506" s="49">
        <v>90</v>
      </c>
      <c r="C506" s="49">
        <v>4</v>
      </c>
      <c r="D506" s="49">
        <v>2</v>
      </c>
      <c r="E506" s="50">
        <v>890</v>
      </c>
      <c r="F506" s="51">
        <f t="shared" si="125"/>
        <v>1780</v>
      </c>
      <c r="G506" s="49"/>
      <c r="H506" s="51">
        <f t="shared" si="126"/>
        <v>0</v>
      </c>
      <c r="I506" s="67">
        <v>370</v>
      </c>
      <c r="J506" s="51" t="s">
        <v>397</v>
      </c>
      <c r="K506" s="51"/>
      <c r="L506" s="51" t="s">
        <v>517</v>
      </c>
      <c r="M506" s="51"/>
      <c r="N506" s="52" t="s">
        <v>1810</v>
      </c>
      <c r="O506" s="49">
        <v>2</v>
      </c>
      <c r="P506" s="60">
        <v>1500</v>
      </c>
      <c r="Q506" s="53">
        <f t="shared" si="127"/>
        <v>0.6853932584269663</v>
      </c>
      <c r="R506" s="51">
        <f t="shared" si="128"/>
        <v>3000</v>
      </c>
      <c r="S506" s="49"/>
      <c r="T506" s="50">
        <v>1600</v>
      </c>
      <c r="U506" s="53">
        <f t="shared" si="129"/>
        <v>0.797752808988764</v>
      </c>
      <c r="V506" s="51">
        <f t="shared" si="130"/>
        <v>0</v>
      </c>
      <c r="W506" s="49"/>
      <c r="X506" s="50">
        <v>2000</v>
      </c>
      <c r="Y506" s="53">
        <f t="shared" si="131"/>
        <v>1.247191011235955</v>
      </c>
      <c r="Z506" s="51">
        <f t="shared" si="132"/>
        <v>0</v>
      </c>
      <c r="AA506" s="49" t="s">
        <v>1811</v>
      </c>
      <c r="AB506" s="49"/>
      <c r="AC506" s="49"/>
    </row>
    <row r="507" spans="1:29" x14ac:dyDescent="0.3">
      <c r="A507" s="49">
        <v>52</v>
      </c>
      <c r="B507" s="49">
        <v>112</v>
      </c>
      <c r="C507" s="49">
        <v>4</v>
      </c>
      <c r="D507" s="49">
        <v>2</v>
      </c>
      <c r="E507" s="50">
        <v>388</v>
      </c>
      <c r="F507" s="51">
        <f t="shared" si="125"/>
        <v>776</v>
      </c>
      <c r="G507" s="49"/>
      <c r="H507" s="51">
        <f t="shared" si="126"/>
        <v>0</v>
      </c>
      <c r="I507" s="66">
        <v>371</v>
      </c>
      <c r="J507" s="51" t="s">
        <v>397</v>
      </c>
      <c r="K507" s="51"/>
      <c r="L507" s="51" t="s">
        <v>517</v>
      </c>
      <c r="M507" s="51"/>
      <c r="N507" s="52" t="s">
        <v>1819</v>
      </c>
      <c r="O507" s="49">
        <v>2</v>
      </c>
      <c r="P507" s="60">
        <v>700</v>
      </c>
      <c r="Q507" s="53">
        <f t="shared" si="127"/>
        <v>0.80412371134020622</v>
      </c>
      <c r="R507" s="51">
        <f t="shared" si="128"/>
        <v>1400</v>
      </c>
      <c r="S507" s="49"/>
      <c r="T507" s="50">
        <v>850</v>
      </c>
      <c r="U507" s="53">
        <f t="shared" si="129"/>
        <v>1.1907216494845361</v>
      </c>
      <c r="V507" s="51">
        <f t="shared" si="130"/>
        <v>0</v>
      </c>
      <c r="W507" s="49"/>
      <c r="X507" s="50">
        <v>1000</v>
      </c>
      <c r="Y507" s="53">
        <f t="shared" si="131"/>
        <v>1.5773195876288659</v>
      </c>
      <c r="Z507" s="51">
        <f t="shared" si="132"/>
        <v>0</v>
      </c>
      <c r="AA507" s="49" t="s">
        <v>1820</v>
      </c>
      <c r="AB507" s="49"/>
      <c r="AC507" s="49"/>
    </row>
    <row r="508" spans="1:29" x14ac:dyDescent="0.3">
      <c r="A508" s="10">
        <v>227</v>
      </c>
      <c r="B508" s="2"/>
      <c r="C508" s="2">
        <v>1</v>
      </c>
      <c r="D508" s="10"/>
      <c r="E508" s="40">
        <v>2200</v>
      </c>
      <c r="F508" s="11">
        <f t="shared" si="125"/>
        <v>0</v>
      </c>
      <c r="G508" s="10"/>
      <c r="H508" s="11">
        <f t="shared" si="126"/>
        <v>0</v>
      </c>
      <c r="I508" s="67">
        <v>372</v>
      </c>
      <c r="J508" s="10" t="s">
        <v>397</v>
      </c>
      <c r="K508" s="10"/>
      <c r="L508" s="10"/>
      <c r="M508" s="10"/>
      <c r="N508" s="12" t="s">
        <v>1812</v>
      </c>
      <c r="O508" s="10"/>
      <c r="P508" s="58">
        <v>3500</v>
      </c>
      <c r="Q508" s="13">
        <f t="shared" si="127"/>
        <v>0.59090909090909094</v>
      </c>
      <c r="R508" s="11">
        <f t="shared" si="128"/>
        <v>0</v>
      </c>
      <c r="S508" s="10"/>
      <c r="T508" s="58">
        <f>E508*1.8</f>
        <v>3960</v>
      </c>
      <c r="U508" s="13">
        <f t="shared" si="129"/>
        <v>0.8</v>
      </c>
      <c r="V508" s="11">
        <f t="shared" si="130"/>
        <v>0</v>
      </c>
      <c r="W508" s="10"/>
      <c r="X508" s="58">
        <f>E508*2.05</f>
        <v>4510</v>
      </c>
      <c r="Y508" s="13">
        <f t="shared" si="131"/>
        <v>1.05</v>
      </c>
      <c r="Z508" s="11">
        <f t="shared" si="132"/>
        <v>0</v>
      </c>
      <c r="AA508" s="10" t="s">
        <v>1813</v>
      </c>
      <c r="AB508" s="10" t="s">
        <v>1814</v>
      </c>
      <c r="AC508" s="2"/>
    </row>
    <row r="509" spans="1:29" x14ac:dyDescent="0.3">
      <c r="A509" s="49">
        <v>53</v>
      </c>
      <c r="B509" s="49">
        <v>113</v>
      </c>
      <c r="C509" s="49">
        <v>4</v>
      </c>
      <c r="D509" s="49">
        <v>5</v>
      </c>
      <c r="E509" s="50">
        <v>3500</v>
      </c>
      <c r="F509" s="51">
        <f t="shared" si="125"/>
        <v>17500</v>
      </c>
      <c r="G509" s="49"/>
      <c r="H509" s="51">
        <f t="shared" si="126"/>
        <v>0</v>
      </c>
      <c r="I509" s="66">
        <v>373</v>
      </c>
      <c r="J509" s="51" t="s">
        <v>397</v>
      </c>
      <c r="K509" s="51"/>
      <c r="L509" s="51" t="s">
        <v>517</v>
      </c>
      <c r="M509" s="51"/>
      <c r="N509" s="52" t="s">
        <v>1821</v>
      </c>
      <c r="O509" s="49">
        <v>5</v>
      </c>
      <c r="P509" s="60">
        <v>5500</v>
      </c>
      <c r="Q509" s="53">
        <f t="shared" si="127"/>
        <v>0.5714285714285714</v>
      </c>
      <c r="R509" s="51">
        <f t="shared" si="128"/>
        <v>27500</v>
      </c>
      <c r="S509" s="49"/>
      <c r="T509" s="50">
        <v>6200</v>
      </c>
      <c r="U509" s="53">
        <f t="shared" si="129"/>
        <v>0.77142857142857146</v>
      </c>
      <c r="V509" s="51">
        <f t="shared" si="130"/>
        <v>0</v>
      </c>
      <c r="W509" s="49"/>
      <c r="X509" s="50">
        <v>7500</v>
      </c>
      <c r="Y509" s="53">
        <f t="shared" si="131"/>
        <v>1.1428571428571428</v>
      </c>
      <c r="Z509" s="51">
        <f t="shared" si="132"/>
        <v>0</v>
      </c>
      <c r="AA509" s="49" t="s">
        <v>1822</v>
      </c>
      <c r="AB509" s="49"/>
      <c r="AC509" s="49"/>
    </row>
    <row r="510" spans="1:29" x14ac:dyDescent="0.3">
      <c r="A510" s="5">
        <v>48</v>
      </c>
      <c r="B510" s="5">
        <v>111</v>
      </c>
      <c r="C510" s="5">
        <v>3</v>
      </c>
      <c r="D510" s="5">
        <v>2</v>
      </c>
      <c r="E510" s="41">
        <v>5500</v>
      </c>
      <c r="F510" s="29">
        <f t="shared" si="125"/>
        <v>11000</v>
      </c>
      <c r="G510" s="5"/>
      <c r="H510" s="29">
        <f t="shared" si="126"/>
        <v>0</v>
      </c>
      <c r="I510" s="67">
        <v>374</v>
      </c>
      <c r="J510" s="5" t="s">
        <v>397</v>
      </c>
      <c r="K510" s="5"/>
      <c r="L510" s="5"/>
      <c r="M510" s="5"/>
      <c r="N510" s="6" t="s">
        <v>1815</v>
      </c>
      <c r="O510" s="5">
        <v>2</v>
      </c>
      <c r="P510" s="59">
        <v>8700</v>
      </c>
      <c r="Q510" s="33">
        <f t="shared" si="127"/>
        <v>0.58181818181818179</v>
      </c>
      <c r="R510" s="29">
        <f t="shared" si="128"/>
        <v>17400</v>
      </c>
      <c r="S510" s="5"/>
      <c r="T510" s="41">
        <v>8500</v>
      </c>
      <c r="U510" s="33">
        <f t="shared" si="129"/>
        <v>0.54545454545454541</v>
      </c>
      <c r="V510" s="29">
        <f t="shared" si="130"/>
        <v>0</v>
      </c>
      <c r="W510" s="5"/>
      <c r="X510" s="41">
        <v>10000</v>
      </c>
      <c r="Y510" s="33">
        <f t="shared" si="131"/>
        <v>0.81818181818181823</v>
      </c>
      <c r="Z510" s="29">
        <f t="shared" si="132"/>
        <v>0</v>
      </c>
      <c r="AA510" s="5" t="s">
        <v>1816</v>
      </c>
      <c r="AB510" s="5" t="s">
        <v>1817</v>
      </c>
      <c r="AC510" s="5" t="s">
        <v>1818</v>
      </c>
    </row>
    <row r="511" spans="1:29" x14ac:dyDescent="0.3">
      <c r="A511" s="10">
        <v>235</v>
      </c>
      <c r="B511" s="2"/>
      <c r="C511" s="2">
        <v>1</v>
      </c>
      <c r="D511" s="10"/>
      <c r="E511" s="40">
        <v>13500</v>
      </c>
      <c r="F511" s="11">
        <f t="shared" si="125"/>
        <v>0</v>
      </c>
      <c r="G511" s="10"/>
      <c r="H511" s="11">
        <f t="shared" si="126"/>
        <v>0</v>
      </c>
      <c r="I511" s="66">
        <v>375</v>
      </c>
      <c r="J511" s="10" t="s">
        <v>397</v>
      </c>
      <c r="K511" s="10"/>
      <c r="L511" s="10"/>
      <c r="M511" s="10"/>
      <c r="N511" s="12" t="s">
        <v>1827</v>
      </c>
      <c r="O511" s="10"/>
      <c r="P511" s="58">
        <v>21600</v>
      </c>
      <c r="Q511" s="13">
        <f t="shared" si="127"/>
        <v>0.6</v>
      </c>
      <c r="R511" s="11">
        <f t="shared" si="128"/>
        <v>0</v>
      </c>
      <c r="S511" s="10"/>
      <c r="T511" s="58">
        <f>E511*1.8</f>
        <v>24300</v>
      </c>
      <c r="U511" s="13">
        <f t="shared" si="129"/>
        <v>0.8</v>
      </c>
      <c r="V511" s="11">
        <f t="shared" si="130"/>
        <v>0</v>
      </c>
      <c r="W511" s="10"/>
      <c r="X511" s="58">
        <f>E511*2.05</f>
        <v>27674.999999999996</v>
      </c>
      <c r="Y511" s="13">
        <f t="shared" si="131"/>
        <v>1.0499999999999998</v>
      </c>
      <c r="Z511" s="11">
        <f t="shared" si="132"/>
        <v>0</v>
      </c>
      <c r="AA511" s="10" t="s">
        <v>1828</v>
      </c>
      <c r="AB511" s="10" t="s">
        <v>1829</v>
      </c>
      <c r="AC511" s="2" t="s">
        <v>1830</v>
      </c>
    </row>
    <row r="512" spans="1:29" x14ac:dyDescent="0.3">
      <c r="A512" s="5">
        <v>47</v>
      </c>
      <c r="B512" s="5">
        <v>121</v>
      </c>
      <c r="C512" s="5">
        <v>3</v>
      </c>
      <c r="D512" s="5">
        <v>6</v>
      </c>
      <c r="E512" s="41">
        <v>6200</v>
      </c>
      <c r="F512" s="29">
        <f t="shared" si="125"/>
        <v>37200</v>
      </c>
      <c r="G512" s="5"/>
      <c r="H512" s="29">
        <f t="shared" si="126"/>
        <v>0</v>
      </c>
      <c r="I512" s="67">
        <v>376</v>
      </c>
      <c r="J512" s="5" t="s">
        <v>397</v>
      </c>
      <c r="K512" s="5"/>
      <c r="L512" s="5"/>
      <c r="M512" s="5" t="s">
        <v>518</v>
      </c>
      <c r="N512" s="6" t="s">
        <v>1823</v>
      </c>
      <c r="O512" s="5">
        <v>6</v>
      </c>
      <c r="P512" s="72">
        <v>9500</v>
      </c>
      <c r="Q512" s="33">
        <f t="shared" si="127"/>
        <v>0.532258064516129</v>
      </c>
      <c r="R512" s="29">
        <f t="shared" si="128"/>
        <v>57000</v>
      </c>
      <c r="S512" s="5"/>
      <c r="T512" s="41">
        <f>E512*1.77</f>
        <v>10974</v>
      </c>
      <c r="U512" s="33">
        <f t="shared" si="129"/>
        <v>0.77</v>
      </c>
      <c r="V512" s="29">
        <f t="shared" si="130"/>
        <v>0</v>
      </c>
      <c r="W512" s="5"/>
      <c r="X512" s="41">
        <f>E512*2.05</f>
        <v>12709.999999999998</v>
      </c>
      <c r="Y512" s="33">
        <f t="shared" si="131"/>
        <v>1.0499999999999996</v>
      </c>
      <c r="Z512" s="29">
        <f t="shared" si="132"/>
        <v>0</v>
      </c>
      <c r="AA512" s="5" t="s">
        <v>1824</v>
      </c>
      <c r="AB512" s="5" t="s">
        <v>1825</v>
      </c>
      <c r="AC512" s="5" t="s">
        <v>1826</v>
      </c>
    </row>
    <row r="513" spans="1:29" x14ac:dyDescent="0.3">
      <c r="A513" s="10">
        <v>373</v>
      </c>
      <c r="B513" s="2"/>
      <c r="C513" s="2">
        <v>1</v>
      </c>
      <c r="D513" s="10"/>
      <c r="E513" s="40">
        <v>1200</v>
      </c>
      <c r="F513" s="11">
        <f t="shared" si="125"/>
        <v>0</v>
      </c>
      <c r="G513" s="10"/>
      <c r="H513" s="11">
        <f t="shared" si="126"/>
        <v>0</v>
      </c>
      <c r="I513" s="66">
        <v>377</v>
      </c>
      <c r="J513" s="10" t="s">
        <v>993</v>
      </c>
      <c r="K513" s="10"/>
      <c r="L513" s="10"/>
      <c r="M513" s="10"/>
      <c r="N513" s="12" t="s">
        <v>1831</v>
      </c>
      <c r="O513" s="10"/>
      <c r="P513" s="58">
        <v>1900</v>
      </c>
      <c r="Q513" s="13">
        <f t="shared" si="127"/>
        <v>0.58333333333333337</v>
      </c>
      <c r="R513" s="11">
        <f t="shared" si="128"/>
        <v>0</v>
      </c>
      <c r="S513" s="10"/>
      <c r="T513" s="58">
        <f>E513*1.8</f>
        <v>2160</v>
      </c>
      <c r="U513" s="13">
        <f t="shared" si="129"/>
        <v>0.8</v>
      </c>
      <c r="V513" s="11">
        <f t="shared" si="130"/>
        <v>0</v>
      </c>
      <c r="W513" s="10"/>
      <c r="X513" s="58">
        <f>E513*2.05</f>
        <v>2460</v>
      </c>
      <c r="Y513" s="13">
        <f t="shared" si="131"/>
        <v>1.05</v>
      </c>
      <c r="Z513" s="11">
        <f t="shared" si="132"/>
        <v>0</v>
      </c>
      <c r="AA513" s="10" t="s">
        <v>1832</v>
      </c>
      <c r="AB513" s="10" t="s">
        <v>1833</v>
      </c>
      <c r="AC513" s="2" t="s">
        <v>1834</v>
      </c>
    </row>
    <row r="514" spans="1:29" x14ac:dyDescent="0.3">
      <c r="A514" s="49">
        <v>71</v>
      </c>
      <c r="B514" s="49">
        <v>30</v>
      </c>
      <c r="C514" s="49">
        <v>4</v>
      </c>
      <c r="D514" s="49">
        <v>5</v>
      </c>
      <c r="E514" s="50">
        <v>1600</v>
      </c>
      <c r="F514" s="51">
        <f t="shared" si="125"/>
        <v>8000</v>
      </c>
      <c r="G514" s="49"/>
      <c r="H514" s="51">
        <f t="shared" si="126"/>
        <v>0</v>
      </c>
      <c r="I514" s="67">
        <v>378</v>
      </c>
      <c r="J514" s="51" t="s">
        <v>993</v>
      </c>
      <c r="K514" s="51"/>
      <c r="L514" s="51" t="s">
        <v>517</v>
      </c>
      <c r="M514" s="51"/>
      <c r="N514" s="52" t="s">
        <v>1846</v>
      </c>
      <c r="O514" s="49">
        <v>5</v>
      </c>
      <c r="P514" s="60">
        <v>2700</v>
      </c>
      <c r="Q514" s="55">
        <f t="shared" si="127"/>
        <v>0.6875</v>
      </c>
      <c r="R514" s="54">
        <f t="shared" si="128"/>
        <v>13500</v>
      </c>
      <c r="S514" s="49"/>
      <c r="T514" s="50">
        <v>3000</v>
      </c>
      <c r="U514" s="53">
        <f t="shared" si="129"/>
        <v>0.875</v>
      </c>
      <c r="V514" s="51">
        <f t="shared" si="130"/>
        <v>0</v>
      </c>
      <c r="W514" s="49"/>
      <c r="X514" s="50">
        <v>4000</v>
      </c>
      <c r="Y514" s="53">
        <f t="shared" si="131"/>
        <v>1.5</v>
      </c>
      <c r="Z514" s="51">
        <f t="shared" si="132"/>
        <v>0</v>
      </c>
      <c r="AA514" s="49" t="s">
        <v>1847</v>
      </c>
      <c r="AB514" s="49"/>
      <c r="AC514" s="49"/>
    </row>
    <row r="515" spans="1:29" x14ac:dyDescent="0.3">
      <c r="A515" s="10">
        <v>198</v>
      </c>
      <c r="B515" s="2"/>
      <c r="C515" s="2">
        <v>1</v>
      </c>
      <c r="D515" s="10"/>
      <c r="E515" s="40">
        <v>3300</v>
      </c>
      <c r="F515" s="11">
        <f t="shared" si="125"/>
        <v>0</v>
      </c>
      <c r="G515" s="10"/>
      <c r="H515" s="11">
        <f t="shared" si="126"/>
        <v>0</v>
      </c>
      <c r="I515" s="66">
        <v>379</v>
      </c>
      <c r="J515" s="10" t="s">
        <v>352</v>
      </c>
      <c r="K515" s="10"/>
      <c r="L515" s="10"/>
      <c r="M515" s="10"/>
      <c r="N515" s="12" t="s">
        <v>1835</v>
      </c>
      <c r="O515" s="10"/>
      <c r="P515" s="58">
        <v>5200</v>
      </c>
      <c r="Q515" s="13">
        <f t="shared" si="127"/>
        <v>0.5757575757575758</v>
      </c>
      <c r="R515" s="11">
        <f t="shared" si="128"/>
        <v>0</v>
      </c>
      <c r="S515" s="10"/>
      <c r="T515" s="58">
        <f>E515*1.8</f>
        <v>5940</v>
      </c>
      <c r="U515" s="13">
        <f t="shared" si="129"/>
        <v>0.8</v>
      </c>
      <c r="V515" s="11">
        <f t="shared" si="130"/>
        <v>0</v>
      </c>
      <c r="W515" s="10"/>
      <c r="X515" s="58">
        <f>E515*2.05</f>
        <v>6764.9999999999991</v>
      </c>
      <c r="Y515" s="13">
        <f t="shared" si="131"/>
        <v>1.0499999999999998</v>
      </c>
      <c r="Z515" s="11">
        <f t="shared" si="132"/>
        <v>0</v>
      </c>
      <c r="AA515" s="10" t="s">
        <v>1836</v>
      </c>
      <c r="AB515" s="10" t="s">
        <v>1837</v>
      </c>
      <c r="AC515" s="2" t="s">
        <v>1838</v>
      </c>
    </row>
    <row r="516" spans="1:29" x14ac:dyDescent="0.3">
      <c r="A516" s="10">
        <v>199</v>
      </c>
      <c r="B516" s="2"/>
      <c r="C516" s="2">
        <v>1</v>
      </c>
      <c r="D516" s="10"/>
      <c r="E516" s="40">
        <v>6500</v>
      </c>
      <c r="F516" s="11">
        <f t="shared" si="125"/>
        <v>0</v>
      </c>
      <c r="G516" s="10"/>
      <c r="H516" s="11">
        <f t="shared" si="126"/>
        <v>0</v>
      </c>
      <c r="I516" s="67">
        <v>380</v>
      </c>
      <c r="J516" s="10" t="s">
        <v>352</v>
      </c>
      <c r="K516" s="10"/>
      <c r="L516" s="10"/>
      <c r="M516" s="10"/>
      <c r="N516" s="12" t="s">
        <v>1839</v>
      </c>
      <c r="O516" s="10"/>
      <c r="P516" s="58">
        <v>10400</v>
      </c>
      <c r="Q516" s="13">
        <f t="shared" si="127"/>
        <v>0.6</v>
      </c>
      <c r="R516" s="11">
        <f t="shared" si="128"/>
        <v>0</v>
      </c>
      <c r="S516" s="10"/>
      <c r="T516" s="58">
        <f>E516*1.8</f>
        <v>11700</v>
      </c>
      <c r="U516" s="13">
        <f t="shared" si="129"/>
        <v>0.8</v>
      </c>
      <c r="V516" s="11">
        <f t="shared" si="130"/>
        <v>0</v>
      </c>
      <c r="W516" s="10"/>
      <c r="X516" s="58">
        <f>E516*2.05</f>
        <v>13324.999999999998</v>
      </c>
      <c r="Y516" s="13">
        <f t="shared" si="131"/>
        <v>1.0499999999999998</v>
      </c>
      <c r="Z516" s="11">
        <f t="shared" si="132"/>
        <v>0</v>
      </c>
      <c r="AA516" s="10" t="s">
        <v>1840</v>
      </c>
      <c r="AB516" s="10" t="s">
        <v>1841</v>
      </c>
      <c r="AC516" s="2" t="s">
        <v>1842</v>
      </c>
    </row>
    <row r="517" spans="1:29" x14ac:dyDescent="0.3">
      <c r="A517" s="37">
        <v>543</v>
      </c>
      <c r="B517" s="37"/>
      <c r="C517" s="37">
        <v>5</v>
      </c>
      <c r="D517" s="37"/>
      <c r="E517" s="44">
        <v>1700</v>
      </c>
      <c r="F517" s="38">
        <f t="shared" si="125"/>
        <v>0</v>
      </c>
      <c r="G517" s="37"/>
      <c r="H517" s="38">
        <f t="shared" si="126"/>
        <v>0</v>
      </c>
      <c r="I517" s="66">
        <v>381</v>
      </c>
      <c r="J517" s="37" t="s">
        <v>19</v>
      </c>
      <c r="K517" s="37" t="s">
        <v>1960</v>
      </c>
      <c r="L517" s="37"/>
      <c r="M517" s="37"/>
      <c r="N517" s="36" t="s">
        <v>1848</v>
      </c>
      <c r="O517" s="37"/>
      <c r="P517" s="44">
        <v>2700</v>
      </c>
      <c r="Q517" s="45">
        <f t="shared" si="127"/>
        <v>0.58823529411764708</v>
      </c>
      <c r="R517" s="46">
        <f t="shared" si="128"/>
        <v>0</v>
      </c>
      <c r="S517" s="37"/>
      <c r="T517" s="44">
        <f>E517*1.8</f>
        <v>3060</v>
      </c>
      <c r="U517" s="45">
        <f t="shared" si="129"/>
        <v>0.8</v>
      </c>
      <c r="V517" s="38">
        <f t="shared" si="130"/>
        <v>0</v>
      </c>
      <c r="W517" s="37"/>
      <c r="X517" s="44">
        <f>E517*2.05</f>
        <v>3484.9999999999995</v>
      </c>
      <c r="Y517" s="45">
        <f t="shared" si="131"/>
        <v>1.0499999999999998</v>
      </c>
      <c r="Z517" s="38">
        <f t="shared" si="132"/>
        <v>0</v>
      </c>
      <c r="AA517" s="37" t="s">
        <v>1849</v>
      </c>
      <c r="AB517" s="37" t="s">
        <v>1850</v>
      </c>
      <c r="AC517" s="37"/>
    </row>
    <row r="518" spans="1:29" x14ac:dyDescent="0.3">
      <c r="A518" s="10">
        <v>249</v>
      </c>
      <c r="B518" s="2"/>
      <c r="C518" s="2">
        <v>1</v>
      </c>
      <c r="D518" s="10"/>
      <c r="E518" s="40">
        <v>22900</v>
      </c>
      <c r="F518" s="11">
        <f t="shared" si="125"/>
        <v>0</v>
      </c>
      <c r="G518" s="10"/>
      <c r="H518" s="11">
        <f t="shared" si="126"/>
        <v>0</v>
      </c>
      <c r="I518" s="67">
        <v>382</v>
      </c>
      <c r="J518" s="10" t="s">
        <v>397</v>
      </c>
      <c r="K518" s="10"/>
      <c r="L518" s="10"/>
      <c r="M518" s="10"/>
      <c r="N518" s="12" t="s">
        <v>1843</v>
      </c>
      <c r="O518" s="10"/>
      <c r="P518" s="58">
        <v>36600</v>
      </c>
      <c r="Q518" s="13">
        <f t="shared" si="127"/>
        <v>0.59825327510917026</v>
      </c>
      <c r="R518" s="11">
        <f t="shared" si="128"/>
        <v>0</v>
      </c>
      <c r="S518" s="10"/>
      <c r="T518" s="58">
        <f>E518*1.8</f>
        <v>41220</v>
      </c>
      <c r="U518" s="13">
        <f t="shared" si="129"/>
        <v>0.8</v>
      </c>
      <c r="V518" s="11">
        <f t="shared" si="130"/>
        <v>0</v>
      </c>
      <c r="W518" s="10"/>
      <c r="X518" s="58">
        <f>E518*2.05</f>
        <v>46944.999999999993</v>
      </c>
      <c r="Y518" s="13">
        <f t="shared" si="131"/>
        <v>1.0499999999999996</v>
      </c>
      <c r="Z518" s="11">
        <f t="shared" si="132"/>
        <v>0</v>
      </c>
      <c r="AA518" s="10" t="s">
        <v>1844</v>
      </c>
      <c r="AB518" s="10" t="s">
        <v>1845</v>
      </c>
      <c r="AC518" s="2"/>
    </row>
    <row r="519" spans="1:29" x14ac:dyDescent="0.3">
      <c r="A519" s="37">
        <v>542</v>
      </c>
      <c r="B519" s="37"/>
      <c r="C519" s="37">
        <v>5</v>
      </c>
      <c r="D519" s="37"/>
      <c r="E519" s="44">
        <v>1600</v>
      </c>
      <c r="F519" s="38">
        <f t="shared" si="125"/>
        <v>0</v>
      </c>
      <c r="G519" s="37"/>
      <c r="H519" s="38">
        <f t="shared" si="126"/>
        <v>0</v>
      </c>
      <c r="I519" s="66">
        <v>383</v>
      </c>
      <c r="J519" s="37" t="s">
        <v>445</v>
      </c>
      <c r="K519" s="37" t="s">
        <v>1960</v>
      </c>
      <c r="L519" s="37"/>
      <c r="M519" s="37"/>
      <c r="N519" s="36" t="s">
        <v>799</v>
      </c>
      <c r="O519" s="37"/>
      <c r="P519" s="44">
        <v>2500</v>
      </c>
      <c r="Q519" s="45">
        <f t="shared" si="127"/>
        <v>0.5625</v>
      </c>
      <c r="R519" s="46">
        <f t="shared" si="128"/>
        <v>0</v>
      </c>
      <c r="S519" s="37"/>
      <c r="T519" s="44">
        <f>E519*1.8</f>
        <v>2880</v>
      </c>
      <c r="U519" s="45">
        <f t="shared" si="129"/>
        <v>0.8</v>
      </c>
      <c r="V519" s="38">
        <f t="shared" si="130"/>
        <v>0</v>
      </c>
      <c r="W519" s="37"/>
      <c r="X519" s="44">
        <f>E519*2.05</f>
        <v>3279.9999999999995</v>
      </c>
      <c r="Y519" s="45">
        <f t="shared" si="131"/>
        <v>1.0499999999999998</v>
      </c>
      <c r="Z519" s="38">
        <f t="shared" si="132"/>
        <v>0</v>
      </c>
      <c r="AA519" s="37" t="s">
        <v>800</v>
      </c>
      <c r="AB519" s="37" t="s">
        <v>801</v>
      </c>
      <c r="AC519" s="37"/>
    </row>
    <row r="520" spans="1:29" x14ac:dyDescent="0.3">
      <c r="A520" s="49">
        <v>38</v>
      </c>
      <c r="B520" s="49">
        <v>114</v>
      </c>
      <c r="C520" s="49">
        <v>4</v>
      </c>
      <c r="D520" s="49">
        <v>2</v>
      </c>
      <c r="E520" s="50">
        <v>10500</v>
      </c>
      <c r="F520" s="51">
        <f t="shared" si="125"/>
        <v>21000</v>
      </c>
      <c r="G520" s="49"/>
      <c r="H520" s="51">
        <f t="shared" si="126"/>
        <v>0</v>
      </c>
      <c r="I520" s="67">
        <v>384</v>
      </c>
      <c r="J520" s="51" t="s">
        <v>352</v>
      </c>
      <c r="K520" s="51"/>
      <c r="L520" s="51" t="s">
        <v>517</v>
      </c>
      <c r="M520" s="51"/>
      <c r="N520" s="56" t="s">
        <v>1858</v>
      </c>
      <c r="O520" s="49">
        <v>2</v>
      </c>
      <c r="P520" s="60">
        <v>16500</v>
      </c>
      <c r="Q520" s="53">
        <f t="shared" si="127"/>
        <v>0.5714285714285714</v>
      </c>
      <c r="R520" s="54">
        <f t="shared" si="128"/>
        <v>33000</v>
      </c>
      <c r="S520" s="49"/>
      <c r="T520" s="50">
        <v>18000</v>
      </c>
      <c r="U520" s="53">
        <f t="shared" si="129"/>
        <v>0.7142857142857143</v>
      </c>
      <c r="V520" s="51">
        <f t="shared" si="130"/>
        <v>0</v>
      </c>
      <c r="W520" s="49"/>
      <c r="X520" s="50">
        <v>22000</v>
      </c>
      <c r="Y520" s="53">
        <f t="shared" si="131"/>
        <v>1.0952380952380953</v>
      </c>
      <c r="Z520" s="51">
        <f t="shared" si="132"/>
        <v>0</v>
      </c>
      <c r="AA520" s="49" t="s">
        <v>1859</v>
      </c>
      <c r="AB520" s="49"/>
      <c r="AC520" s="49"/>
    </row>
    <row r="521" spans="1:29" x14ac:dyDescent="0.3">
      <c r="A521" s="10">
        <v>194</v>
      </c>
      <c r="B521" s="2"/>
      <c r="C521" s="2">
        <v>1</v>
      </c>
      <c r="D521" s="10"/>
      <c r="E521" s="40">
        <v>32550</v>
      </c>
      <c r="F521" s="11">
        <f t="shared" ref="F521:F584" si="133">D521*E521</f>
        <v>0</v>
      </c>
      <c r="G521" s="10"/>
      <c r="H521" s="11">
        <f t="shared" ref="H521:H584" si="134">E521*G521</f>
        <v>0</v>
      </c>
      <c r="I521" s="66">
        <v>385</v>
      </c>
      <c r="J521" s="10" t="s">
        <v>352</v>
      </c>
      <c r="K521" s="10"/>
      <c r="L521" s="10"/>
      <c r="M521" s="10"/>
      <c r="N521" s="12" t="s">
        <v>1851</v>
      </c>
      <c r="O521" s="10"/>
      <c r="P521" s="58">
        <v>52000</v>
      </c>
      <c r="Q521" s="13">
        <f t="shared" si="127"/>
        <v>0.59754224270353307</v>
      </c>
      <c r="R521" s="11">
        <f t="shared" si="128"/>
        <v>0</v>
      </c>
      <c r="S521" s="10"/>
      <c r="T521" s="58">
        <f t="shared" ref="T521:T551" si="135">E521*1.8</f>
        <v>58590</v>
      </c>
      <c r="U521" s="13">
        <f t="shared" si="129"/>
        <v>0.8</v>
      </c>
      <c r="V521" s="11">
        <f t="shared" si="130"/>
        <v>0</v>
      </c>
      <c r="W521" s="10"/>
      <c r="X521" s="58">
        <f t="shared" ref="X521:X551" si="136">E521*2.05</f>
        <v>66727.5</v>
      </c>
      <c r="Y521" s="13">
        <f t="shared" si="131"/>
        <v>1.05</v>
      </c>
      <c r="Z521" s="11">
        <f t="shared" si="132"/>
        <v>0</v>
      </c>
      <c r="AA521" s="10" t="s">
        <v>1852</v>
      </c>
      <c r="AB521" s="10" t="s">
        <v>1853</v>
      </c>
      <c r="AC521" s="2" t="s">
        <v>1854</v>
      </c>
    </row>
    <row r="522" spans="1:29" x14ac:dyDescent="0.3">
      <c r="A522" s="10">
        <v>195</v>
      </c>
      <c r="B522" s="2"/>
      <c r="C522" s="2">
        <v>1</v>
      </c>
      <c r="D522" s="10"/>
      <c r="E522" s="40">
        <v>37000</v>
      </c>
      <c r="F522" s="11">
        <f t="shared" si="133"/>
        <v>0</v>
      </c>
      <c r="G522" s="10"/>
      <c r="H522" s="11">
        <f t="shared" si="134"/>
        <v>0</v>
      </c>
      <c r="I522" s="67">
        <v>386</v>
      </c>
      <c r="J522" s="10" t="s">
        <v>352</v>
      </c>
      <c r="K522" s="10"/>
      <c r="L522" s="10"/>
      <c r="M522" s="10"/>
      <c r="N522" s="12" t="s">
        <v>1855</v>
      </c>
      <c r="O522" s="10"/>
      <c r="P522" s="58">
        <v>59200</v>
      </c>
      <c r="Q522" s="13">
        <f t="shared" si="127"/>
        <v>0.6</v>
      </c>
      <c r="R522" s="11">
        <f t="shared" si="128"/>
        <v>0</v>
      </c>
      <c r="S522" s="10"/>
      <c r="T522" s="58">
        <f t="shared" si="135"/>
        <v>66600</v>
      </c>
      <c r="U522" s="13">
        <f t="shared" si="129"/>
        <v>0.8</v>
      </c>
      <c r="V522" s="11">
        <f t="shared" si="130"/>
        <v>0</v>
      </c>
      <c r="W522" s="10"/>
      <c r="X522" s="58">
        <f t="shared" si="136"/>
        <v>75850</v>
      </c>
      <c r="Y522" s="13">
        <f t="shared" si="131"/>
        <v>1.05</v>
      </c>
      <c r="Z522" s="11">
        <f t="shared" si="132"/>
        <v>0</v>
      </c>
      <c r="AA522" s="10" t="s">
        <v>1856</v>
      </c>
      <c r="AB522" s="10" t="s">
        <v>1857</v>
      </c>
      <c r="AC522" s="2"/>
    </row>
    <row r="523" spans="1:29" x14ac:dyDescent="0.3">
      <c r="A523" s="10">
        <v>191</v>
      </c>
      <c r="B523" s="2"/>
      <c r="C523" s="2">
        <v>1</v>
      </c>
      <c r="D523" s="10"/>
      <c r="E523" s="40">
        <v>33000</v>
      </c>
      <c r="F523" s="11">
        <f t="shared" si="133"/>
        <v>0</v>
      </c>
      <c r="G523" s="10"/>
      <c r="H523" s="11">
        <f t="shared" si="134"/>
        <v>0</v>
      </c>
      <c r="I523" s="66">
        <v>387</v>
      </c>
      <c r="J523" s="10" t="s">
        <v>352</v>
      </c>
      <c r="K523" s="10"/>
      <c r="L523" s="10"/>
      <c r="M523" s="10"/>
      <c r="N523" s="12" t="s">
        <v>1860</v>
      </c>
      <c r="O523" s="10"/>
      <c r="P523" s="58">
        <v>52800</v>
      </c>
      <c r="Q523" s="13">
        <f t="shared" si="127"/>
        <v>0.6</v>
      </c>
      <c r="R523" s="11">
        <f t="shared" si="128"/>
        <v>0</v>
      </c>
      <c r="S523" s="10"/>
      <c r="T523" s="58">
        <f t="shared" si="135"/>
        <v>59400</v>
      </c>
      <c r="U523" s="13">
        <f t="shared" si="129"/>
        <v>0.8</v>
      </c>
      <c r="V523" s="11">
        <f t="shared" si="130"/>
        <v>0</v>
      </c>
      <c r="W523" s="10"/>
      <c r="X523" s="58">
        <f t="shared" si="136"/>
        <v>67650</v>
      </c>
      <c r="Y523" s="13">
        <f t="shared" si="131"/>
        <v>1.05</v>
      </c>
      <c r="Z523" s="11">
        <f t="shared" si="132"/>
        <v>0</v>
      </c>
      <c r="AA523" s="10" t="s">
        <v>1861</v>
      </c>
      <c r="AB523" s="10" t="s">
        <v>1862</v>
      </c>
      <c r="AC523" s="2"/>
    </row>
    <row r="524" spans="1:29" x14ac:dyDescent="0.3">
      <c r="A524" s="10">
        <v>218</v>
      </c>
      <c r="B524" s="2"/>
      <c r="C524" s="2">
        <v>1</v>
      </c>
      <c r="D524" s="10"/>
      <c r="E524" s="40">
        <v>37000</v>
      </c>
      <c r="F524" s="11">
        <f t="shared" si="133"/>
        <v>0</v>
      </c>
      <c r="G524" s="10"/>
      <c r="H524" s="11">
        <f t="shared" si="134"/>
        <v>0</v>
      </c>
      <c r="I524" s="67">
        <v>388</v>
      </c>
      <c r="J524" s="10" t="s">
        <v>352</v>
      </c>
      <c r="K524" s="10"/>
      <c r="L524" s="10"/>
      <c r="M524" s="10"/>
      <c r="N524" s="12" t="s">
        <v>1863</v>
      </c>
      <c r="O524" s="10"/>
      <c r="P524" s="58">
        <v>59200</v>
      </c>
      <c r="Q524" s="13">
        <f t="shared" si="127"/>
        <v>0.6</v>
      </c>
      <c r="R524" s="11">
        <f t="shared" si="128"/>
        <v>0</v>
      </c>
      <c r="S524" s="10"/>
      <c r="T524" s="58">
        <f t="shared" si="135"/>
        <v>66600</v>
      </c>
      <c r="U524" s="13">
        <f t="shared" si="129"/>
        <v>0.8</v>
      </c>
      <c r="V524" s="11">
        <f t="shared" si="130"/>
        <v>0</v>
      </c>
      <c r="W524" s="10"/>
      <c r="X524" s="58">
        <f t="shared" si="136"/>
        <v>75850</v>
      </c>
      <c r="Y524" s="13">
        <f t="shared" si="131"/>
        <v>1.05</v>
      </c>
      <c r="Z524" s="11">
        <f t="shared" si="132"/>
        <v>0</v>
      </c>
      <c r="AA524" s="10" t="s">
        <v>1864</v>
      </c>
      <c r="AB524" s="10" t="s">
        <v>1865</v>
      </c>
      <c r="AC524" s="2" t="s">
        <v>1866</v>
      </c>
    </row>
    <row r="525" spans="1:29" x14ac:dyDescent="0.3">
      <c r="A525" s="10">
        <v>219</v>
      </c>
      <c r="B525" s="2"/>
      <c r="C525" s="2">
        <v>1</v>
      </c>
      <c r="D525" s="10"/>
      <c r="E525" s="40">
        <v>33000</v>
      </c>
      <c r="F525" s="11">
        <f t="shared" si="133"/>
        <v>0</v>
      </c>
      <c r="G525" s="10"/>
      <c r="H525" s="11">
        <f t="shared" si="134"/>
        <v>0</v>
      </c>
      <c r="I525" s="66">
        <v>389</v>
      </c>
      <c r="J525" s="10" t="s">
        <v>352</v>
      </c>
      <c r="K525" s="10"/>
      <c r="L525" s="10"/>
      <c r="M525" s="10"/>
      <c r="N525" s="12" t="s">
        <v>1867</v>
      </c>
      <c r="O525" s="10"/>
      <c r="P525" s="58">
        <v>52800</v>
      </c>
      <c r="Q525" s="13">
        <f t="shared" si="127"/>
        <v>0.6</v>
      </c>
      <c r="R525" s="11">
        <f t="shared" si="128"/>
        <v>0</v>
      </c>
      <c r="S525" s="10"/>
      <c r="T525" s="58">
        <f t="shared" si="135"/>
        <v>59400</v>
      </c>
      <c r="U525" s="13">
        <f t="shared" si="129"/>
        <v>0.8</v>
      </c>
      <c r="V525" s="11">
        <f t="shared" si="130"/>
        <v>0</v>
      </c>
      <c r="W525" s="10"/>
      <c r="X525" s="58">
        <f t="shared" si="136"/>
        <v>67650</v>
      </c>
      <c r="Y525" s="13">
        <f t="shared" si="131"/>
        <v>1.05</v>
      </c>
      <c r="Z525" s="11">
        <f t="shared" si="132"/>
        <v>0</v>
      </c>
      <c r="AA525" s="10" t="s">
        <v>1868</v>
      </c>
      <c r="AB525" s="10" t="s">
        <v>1869</v>
      </c>
      <c r="AC525" s="2"/>
    </row>
    <row r="526" spans="1:29" x14ac:dyDescent="0.3">
      <c r="A526" s="37">
        <v>538</v>
      </c>
      <c r="B526" s="37"/>
      <c r="C526" s="37">
        <v>5</v>
      </c>
      <c r="D526" s="37"/>
      <c r="E526" s="44">
        <v>2900</v>
      </c>
      <c r="F526" s="38">
        <f t="shared" si="133"/>
        <v>0</v>
      </c>
      <c r="G526" s="37"/>
      <c r="H526" s="38">
        <f t="shared" si="134"/>
        <v>0</v>
      </c>
      <c r="I526" s="67">
        <v>390</v>
      </c>
      <c r="J526" s="37" t="s">
        <v>397</v>
      </c>
      <c r="K526" s="37" t="s">
        <v>1960</v>
      </c>
      <c r="L526" s="37"/>
      <c r="M526" s="37"/>
      <c r="N526" s="36" t="s">
        <v>1870</v>
      </c>
      <c r="O526" s="37"/>
      <c r="P526" s="44">
        <v>4600</v>
      </c>
      <c r="Q526" s="45">
        <f t="shared" si="127"/>
        <v>0.58620689655172409</v>
      </c>
      <c r="R526" s="46">
        <f t="shared" si="128"/>
        <v>0</v>
      </c>
      <c r="S526" s="37"/>
      <c r="T526" s="44">
        <f t="shared" si="135"/>
        <v>5220</v>
      </c>
      <c r="U526" s="45">
        <f t="shared" si="129"/>
        <v>0.8</v>
      </c>
      <c r="V526" s="38">
        <f t="shared" si="130"/>
        <v>0</v>
      </c>
      <c r="W526" s="37"/>
      <c r="X526" s="44">
        <f t="shared" si="136"/>
        <v>5944.9999999999991</v>
      </c>
      <c r="Y526" s="45">
        <f t="shared" si="131"/>
        <v>1.0499999999999996</v>
      </c>
      <c r="Z526" s="38">
        <f t="shared" si="132"/>
        <v>0</v>
      </c>
      <c r="AA526" s="37" t="s">
        <v>1871</v>
      </c>
      <c r="AB526" s="37" t="s">
        <v>1872</v>
      </c>
      <c r="AC526" s="37"/>
    </row>
    <row r="527" spans="1:29" x14ac:dyDescent="0.3">
      <c r="A527" s="10">
        <v>190</v>
      </c>
      <c r="B527" s="2"/>
      <c r="C527" s="2">
        <v>1</v>
      </c>
      <c r="D527" s="10"/>
      <c r="E527" s="40">
        <v>42600</v>
      </c>
      <c r="F527" s="11">
        <f t="shared" si="133"/>
        <v>0</v>
      </c>
      <c r="G527" s="10"/>
      <c r="H527" s="11">
        <f t="shared" si="134"/>
        <v>0</v>
      </c>
      <c r="I527" s="66">
        <v>391</v>
      </c>
      <c r="J527" s="10" t="s">
        <v>352</v>
      </c>
      <c r="K527" s="10"/>
      <c r="L527" s="10"/>
      <c r="M527" s="10"/>
      <c r="N527" s="12" t="s">
        <v>1873</v>
      </c>
      <c r="O527" s="10"/>
      <c r="P527" s="58">
        <v>68100</v>
      </c>
      <c r="Q527" s="13">
        <f t="shared" si="127"/>
        <v>0.59859154929577463</v>
      </c>
      <c r="R527" s="11">
        <f t="shared" si="128"/>
        <v>0</v>
      </c>
      <c r="S527" s="10"/>
      <c r="T527" s="58">
        <f t="shared" si="135"/>
        <v>76680</v>
      </c>
      <c r="U527" s="13">
        <f t="shared" si="129"/>
        <v>0.8</v>
      </c>
      <c r="V527" s="11">
        <f t="shared" si="130"/>
        <v>0</v>
      </c>
      <c r="W527" s="10"/>
      <c r="X527" s="58">
        <f t="shared" si="136"/>
        <v>87329.999999999985</v>
      </c>
      <c r="Y527" s="13">
        <f t="shared" si="131"/>
        <v>1.0499999999999996</v>
      </c>
      <c r="Z527" s="11">
        <f t="shared" si="132"/>
        <v>0</v>
      </c>
      <c r="AA527" s="10" t="s">
        <v>1874</v>
      </c>
      <c r="AB527" s="10" t="s">
        <v>1875</v>
      </c>
      <c r="AC527" s="2" t="s">
        <v>1876</v>
      </c>
    </row>
    <row r="528" spans="1:29" x14ac:dyDescent="0.3">
      <c r="A528" s="10">
        <v>192</v>
      </c>
      <c r="B528" s="2"/>
      <c r="C528" s="2">
        <v>1</v>
      </c>
      <c r="D528" s="10"/>
      <c r="E528" s="40">
        <v>33800</v>
      </c>
      <c r="F528" s="11">
        <f t="shared" si="133"/>
        <v>0</v>
      </c>
      <c r="G528" s="10"/>
      <c r="H528" s="11">
        <f t="shared" si="134"/>
        <v>0</v>
      </c>
      <c r="I528" s="67">
        <v>392</v>
      </c>
      <c r="J528" s="10" t="s">
        <v>352</v>
      </c>
      <c r="K528" s="10"/>
      <c r="L528" s="10"/>
      <c r="M528" s="10"/>
      <c r="N528" s="12" t="s">
        <v>1877</v>
      </c>
      <c r="O528" s="10"/>
      <c r="P528" s="58">
        <v>54000</v>
      </c>
      <c r="Q528" s="13">
        <f t="shared" si="127"/>
        <v>0.59763313609467461</v>
      </c>
      <c r="R528" s="11">
        <f t="shared" si="128"/>
        <v>0</v>
      </c>
      <c r="S528" s="10"/>
      <c r="T528" s="58">
        <f t="shared" si="135"/>
        <v>60840</v>
      </c>
      <c r="U528" s="13">
        <f t="shared" si="129"/>
        <v>0.8</v>
      </c>
      <c r="V528" s="11">
        <f t="shared" si="130"/>
        <v>0</v>
      </c>
      <c r="W528" s="10"/>
      <c r="X528" s="58">
        <f t="shared" si="136"/>
        <v>69290</v>
      </c>
      <c r="Y528" s="13">
        <f t="shared" si="131"/>
        <v>1.05</v>
      </c>
      <c r="Z528" s="11">
        <f t="shared" si="132"/>
        <v>0</v>
      </c>
      <c r="AA528" s="10" t="s">
        <v>1878</v>
      </c>
      <c r="AB528" s="10" t="s">
        <v>1879</v>
      </c>
      <c r="AC528" s="2"/>
    </row>
    <row r="529" spans="1:29" x14ac:dyDescent="0.3">
      <c r="A529" s="10">
        <v>193</v>
      </c>
      <c r="B529" s="2"/>
      <c r="C529" s="2">
        <v>1</v>
      </c>
      <c r="D529" s="10"/>
      <c r="E529" s="40">
        <v>99000</v>
      </c>
      <c r="F529" s="11">
        <f t="shared" si="133"/>
        <v>0</v>
      </c>
      <c r="G529" s="10"/>
      <c r="H529" s="11">
        <f t="shared" si="134"/>
        <v>0</v>
      </c>
      <c r="I529" s="66">
        <v>393</v>
      </c>
      <c r="J529" s="10" t="s">
        <v>352</v>
      </c>
      <c r="K529" s="10"/>
      <c r="L529" s="10"/>
      <c r="M529" s="10"/>
      <c r="N529" s="12" t="s">
        <v>1880</v>
      </c>
      <c r="O529" s="10"/>
      <c r="P529" s="58">
        <v>158400</v>
      </c>
      <c r="Q529" s="13">
        <f t="shared" si="127"/>
        <v>0.6</v>
      </c>
      <c r="R529" s="11">
        <f t="shared" si="128"/>
        <v>0</v>
      </c>
      <c r="S529" s="10"/>
      <c r="T529" s="58">
        <f t="shared" si="135"/>
        <v>178200</v>
      </c>
      <c r="U529" s="13">
        <f t="shared" si="129"/>
        <v>0.8</v>
      </c>
      <c r="V529" s="11">
        <f t="shared" si="130"/>
        <v>0</v>
      </c>
      <c r="W529" s="10"/>
      <c r="X529" s="58">
        <f t="shared" si="136"/>
        <v>202949.99999999997</v>
      </c>
      <c r="Y529" s="13">
        <f t="shared" si="131"/>
        <v>1.0499999999999996</v>
      </c>
      <c r="Z529" s="11">
        <f t="shared" si="132"/>
        <v>0</v>
      </c>
      <c r="AA529" s="10" t="s">
        <v>1881</v>
      </c>
      <c r="AB529" s="10" t="s">
        <v>1882</v>
      </c>
      <c r="AC529" s="2"/>
    </row>
    <row r="530" spans="1:29" x14ac:dyDescent="0.3">
      <c r="A530" s="10">
        <v>196</v>
      </c>
      <c r="B530" s="2"/>
      <c r="C530" s="2">
        <v>1</v>
      </c>
      <c r="D530" s="10"/>
      <c r="E530" s="40">
        <v>97000</v>
      </c>
      <c r="F530" s="11">
        <f t="shared" si="133"/>
        <v>0</v>
      </c>
      <c r="G530" s="10"/>
      <c r="H530" s="11">
        <f t="shared" si="134"/>
        <v>0</v>
      </c>
      <c r="I530" s="67">
        <v>394</v>
      </c>
      <c r="J530" s="10" t="s">
        <v>352</v>
      </c>
      <c r="K530" s="10"/>
      <c r="L530" s="10"/>
      <c r="M530" s="10"/>
      <c r="N530" s="12" t="s">
        <v>1883</v>
      </c>
      <c r="O530" s="10"/>
      <c r="P530" s="58">
        <v>155200</v>
      </c>
      <c r="Q530" s="13">
        <f t="shared" si="127"/>
        <v>0.6</v>
      </c>
      <c r="R530" s="11">
        <f t="shared" si="128"/>
        <v>0</v>
      </c>
      <c r="S530" s="10"/>
      <c r="T530" s="58">
        <f t="shared" si="135"/>
        <v>174600</v>
      </c>
      <c r="U530" s="13">
        <f t="shared" si="129"/>
        <v>0.8</v>
      </c>
      <c r="V530" s="11">
        <f t="shared" si="130"/>
        <v>0</v>
      </c>
      <c r="W530" s="10"/>
      <c r="X530" s="58">
        <f t="shared" si="136"/>
        <v>198849.99999999997</v>
      </c>
      <c r="Y530" s="13">
        <f t="shared" si="131"/>
        <v>1.0499999999999996</v>
      </c>
      <c r="Z530" s="11">
        <f t="shared" si="132"/>
        <v>0</v>
      </c>
      <c r="AA530" s="10" t="s">
        <v>1884</v>
      </c>
      <c r="AB530" s="10" t="s">
        <v>1885</v>
      </c>
      <c r="AC530" s="2"/>
    </row>
    <row r="531" spans="1:29" x14ac:dyDescent="0.3">
      <c r="A531" s="10">
        <v>197</v>
      </c>
      <c r="B531" s="2"/>
      <c r="C531" s="2">
        <v>1</v>
      </c>
      <c r="D531" s="10"/>
      <c r="E531" s="40">
        <v>47500</v>
      </c>
      <c r="F531" s="11">
        <f t="shared" si="133"/>
        <v>0</v>
      </c>
      <c r="G531" s="10"/>
      <c r="H531" s="11">
        <f t="shared" si="134"/>
        <v>0</v>
      </c>
      <c r="I531" s="66">
        <v>395</v>
      </c>
      <c r="J531" s="10" t="s">
        <v>352</v>
      </c>
      <c r="K531" s="10"/>
      <c r="L531" s="10"/>
      <c r="M531" s="10"/>
      <c r="N531" s="12" t="s">
        <v>1886</v>
      </c>
      <c r="O531" s="10"/>
      <c r="P531" s="58">
        <v>76000</v>
      </c>
      <c r="Q531" s="13">
        <f t="shared" si="127"/>
        <v>0.6</v>
      </c>
      <c r="R531" s="11">
        <f t="shared" si="128"/>
        <v>0</v>
      </c>
      <c r="S531" s="10"/>
      <c r="T531" s="58">
        <f t="shared" si="135"/>
        <v>85500</v>
      </c>
      <c r="U531" s="13">
        <f t="shared" si="129"/>
        <v>0.8</v>
      </c>
      <c r="V531" s="11">
        <f t="shared" si="130"/>
        <v>0</v>
      </c>
      <c r="W531" s="10"/>
      <c r="X531" s="58">
        <f t="shared" si="136"/>
        <v>97374.999999999985</v>
      </c>
      <c r="Y531" s="13">
        <f t="shared" si="131"/>
        <v>1.0499999999999996</v>
      </c>
      <c r="Z531" s="11">
        <f t="shared" si="132"/>
        <v>0</v>
      </c>
      <c r="AA531" s="10" t="s">
        <v>1887</v>
      </c>
      <c r="AB531" s="10" t="s">
        <v>1888</v>
      </c>
      <c r="AC531" s="2" t="s">
        <v>1889</v>
      </c>
    </row>
    <row r="532" spans="1:29" x14ac:dyDescent="0.3">
      <c r="A532" s="10">
        <v>200</v>
      </c>
      <c r="B532" s="2"/>
      <c r="C532" s="2">
        <v>1</v>
      </c>
      <c r="D532" s="10"/>
      <c r="E532" s="40">
        <v>135000</v>
      </c>
      <c r="F532" s="11">
        <f t="shared" si="133"/>
        <v>0</v>
      </c>
      <c r="G532" s="10"/>
      <c r="H532" s="11">
        <f t="shared" si="134"/>
        <v>0</v>
      </c>
      <c r="I532" s="67">
        <v>396</v>
      </c>
      <c r="J532" s="10" t="s">
        <v>352</v>
      </c>
      <c r="K532" s="10"/>
      <c r="L532" s="10"/>
      <c r="M532" s="10"/>
      <c r="N532" s="12" t="s">
        <v>1890</v>
      </c>
      <c r="O532" s="10"/>
      <c r="P532" s="58">
        <v>216000</v>
      </c>
      <c r="Q532" s="13">
        <f t="shared" si="127"/>
        <v>0.6</v>
      </c>
      <c r="R532" s="11">
        <f t="shared" si="128"/>
        <v>0</v>
      </c>
      <c r="S532" s="10"/>
      <c r="T532" s="58">
        <f t="shared" si="135"/>
        <v>243000</v>
      </c>
      <c r="U532" s="13">
        <f t="shared" si="129"/>
        <v>0.8</v>
      </c>
      <c r="V532" s="11">
        <f t="shared" si="130"/>
        <v>0</v>
      </c>
      <c r="W532" s="10"/>
      <c r="X532" s="58">
        <f t="shared" si="136"/>
        <v>276750</v>
      </c>
      <c r="Y532" s="13">
        <f t="shared" si="131"/>
        <v>1.05</v>
      </c>
      <c r="Z532" s="11">
        <f t="shared" si="132"/>
        <v>0</v>
      </c>
      <c r="AA532" s="10" t="s">
        <v>1891</v>
      </c>
      <c r="AB532" s="10" t="s">
        <v>1892</v>
      </c>
      <c r="AC532" s="2" t="s">
        <v>1893</v>
      </c>
    </row>
    <row r="533" spans="1:29" x14ac:dyDescent="0.3">
      <c r="A533" s="10">
        <v>201</v>
      </c>
      <c r="B533" s="2"/>
      <c r="C533" s="2">
        <v>1</v>
      </c>
      <c r="D533" s="10"/>
      <c r="E533" s="40">
        <v>18500</v>
      </c>
      <c r="F533" s="11">
        <f t="shared" si="133"/>
        <v>0</v>
      </c>
      <c r="G533" s="10"/>
      <c r="H533" s="11">
        <f t="shared" si="134"/>
        <v>0</v>
      </c>
      <c r="I533" s="66">
        <v>397</v>
      </c>
      <c r="J533" s="10" t="s">
        <v>352</v>
      </c>
      <c r="K533" s="10"/>
      <c r="L533" s="10"/>
      <c r="M533" s="10"/>
      <c r="N533" s="12" t="s">
        <v>1894</v>
      </c>
      <c r="O533" s="10"/>
      <c r="P533" s="58">
        <v>29600</v>
      </c>
      <c r="Q533" s="13">
        <f t="shared" si="127"/>
        <v>0.6</v>
      </c>
      <c r="R533" s="11">
        <f t="shared" si="128"/>
        <v>0</v>
      </c>
      <c r="S533" s="10"/>
      <c r="T533" s="58">
        <f t="shared" si="135"/>
        <v>33300</v>
      </c>
      <c r="U533" s="13">
        <f t="shared" si="129"/>
        <v>0.8</v>
      </c>
      <c r="V533" s="11">
        <f t="shared" si="130"/>
        <v>0</v>
      </c>
      <c r="W533" s="10"/>
      <c r="X533" s="58">
        <f t="shared" si="136"/>
        <v>37925</v>
      </c>
      <c r="Y533" s="13">
        <f t="shared" si="131"/>
        <v>1.05</v>
      </c>
      <c r="Z533" s="11">
        <f t="shared" si="132"/>
        <v>0</v>
      </c>
      <c r="AA533" s="10" t="s">
        <v>1895</v>
      </c>
      <c r="AB533" s="10" t="s">
        <v>1896</v>
      </c>
      <c r="AC533" s="2" t="s">
        <v>1897</v>
      </c>
    </row>
    <row r="534" spans="1:29" x14ac:dyDescent="0.3">
      <c r="A534" s="10">
        <v>202</v>
      </c>
      <c r="B534" s="2"/>
      <c r="C534" s="2">
        <v>1</v>
      </c>
      <c r="D534" s="10"/>
      <c r="E534" s="40">
        <v>9883</v>
      </c>
      <c r="F534" s="11">
        <f t="shared" si="133"/>
        <v>0</v>
      </c>
      <c r="G534" s="10"/>
      <c r="H534" s="11">
        <f t="shared" si="134"/>
        <v>0</v>
      </c>
      <c r="I534" s="67">
        <v>398</v>
      </c>
      <c r="J534" s="10" t="s">
        <v>352</v>
      </c>
      <c r="K534" s="10"/>
      <c r="L534" s="10"/>
      <c r="M534" s="10"/>
      <c r="N534" s="12" t="s">
        <v>1898</v>
      </c>
      <c r="O534" s="10"/>
      <c r="P534" s="58">
        <v>15800</v>
      </c>
      <c r="Q534" s="13">
        <f t="shared" si="127"/>
        <v>0.59870484670646562</v>
      </c>
      <c r="R534" s="11">
        <f t="shared" si="128"/>
        <v>0</v>
      </c>
      <c r="S534" s="10"/>
      <c r="T534" s="58">
        <f t="shared" si="135"/>
        <v>17789.400000000001</v>
      </c>
      <c r="U534" s="13">
        <f t="shared" si="129"/>
        <v>0.80000000000000016</v>
      </c>
      <c r="V534" s="11">
        <f t="shared" si="130"/>
        <v>0</v>
      </c>
      <c r="W534" s="10"/>
      <c r="X534" s="58">
        <f t="shared" si="136"/>
        <v>20260.149999999998</v>
      </c>
      <c r="Y534" s="13">
        <f t="shared" si="131"/>
        <v>1.0499999999999998</v>
      </c>
      <c r="Z534" s="11">
        <f t="shared" si="132"/>
        <v>0</v>
      </c>
      <c r="AA534" s="10" t="s">
        <v>1899</v>
      </c>
      <c r="AB534" s="10" t="s">
        <v>1900</v>
      </c>
      <c r="AC534" s="2" t="s">
        <v>1901</v>
      </c>
    </row>
    <row r="535" spans="1:29" x14ac:dyDescent="0.3">
      <c r="A535" s="10">
        <v>204</v>
      </c>
      <c r="B535" s="2"/>
      <c r="C535" s="2">
        <v>1</v>
      </c>
      <c r="D535" s="10"/>
      <c r="E535" s="40">
        <v>158000</v>
      </c>
      <c r="F535" s="11">
        <f t="shared" si="133"/>
        <v>0</v>
      </c>
      <c r="G535" s="10"/>
      <c r="H535" s="11">
        <f t="shared" si="134"/>
        <v>0</v>
      </c>
      <c r="I535" s="66">
        <v>399</v>
      </c>
      <c r="J535" s="10" t="s">
        <v>352</v>
      </c>
      <c r="K535" s="10"/>
      <c r="L535" s="10"/>
      <c r="M535" s="10"/>
      <c r="N535" s="12" t="s">
        <v>1902</v>
      </c>
      <c r="O535" s="10"/>
      <c r="P535" s="58">
        <v>252800</v>
      </c>
      <c r="Q535" s="13">
        <f t="shared" si="127"/>
        <v>0.6</v>
      </c>
      <c r="R535" s="11">
        <f t="shared" si="128"/>
        <v>0</v>
      </c>
      <c r="S535" s="10"/>
      <c r="T535" s="58">
        <f t="shared" si="135"/>
        <v>284400</v>
      </c>
      <c r="U535" s="13">
        <f t="shared" si="129"/>
        <v>0.8</v>
      </c>
      <c r="V535" s="11">
        <f t="shared" si="130"/>
        <v>0</v>
      </c>
      <c r="W535" s="10"/>
      <c r="X535" s="58">
        <f t="shared" si="136"/>
        <v>323900</v>
      </c>
      <c r="Y535" s="13">
        <f t="shared" si="131"/>
        <v>1.05</v>
      </c>
      <c r="Z535" s="11">
        <f t="shared" si="132"/>
        <v>0</v>
      </c>
      <c r="AA535" s="10" t="s">
        <v>1903</v>
      </c>
      <c r="AB535" s="10" t="s">
        <v>1904</v>
      </c>
      <c r="AC535" s="2" t="s">
        <v>1905</v>
      </c>
    </row>
    <row r="536" spans="1:29" x14ac:dyDescent="0.3">
      <c r="A536" s="10">
        <v>206</v>
      </c>
      <c r="B536" s="2"/>
      <c r="C536" s="2">
        <v>1</v>
      </c>
      <c r="D536" s="10"/>
      <c r="E536" s="40">
        <v>5900</v>
      </c>
      <c r="F536" s="11">
        <f t="shared" si="133"/>
        <v>0</v>
      </c>
      <c r="G536" s="10"/>
      <c r="H536" s="11">
        <f t="shared" si="134"/>
        <v>0</v>
      </c>
      <c r="I536" s="67">
        <v>400</v>
      </c>
      <c r="J536" s="10" t="s">
        <v>352</v>
      </c>
      <c r="K536" s="10"/>
      <c r="L536" s="10"/>
      <c r="M536" s="10"/>
      <c r="N536" s="12" t="s">
        <v>1906</v>
      </c>
      <c r="O536" s="10"/>
      <c r="P536" s="58">
        <v>9400</v>
      </c>
      <c r="Q536" s="13">
        <f t="shared" si="127"/>
        <v>0.59322033898305082</v>
      </c>
      <c r="R536" s="11">
        <f t="shared" si="128"/>
        <v>0</v>
      </c>
      <c r="S536" s="10"/>
      <c r="T536" s="58">
        <f t="shared" si="135"/>
        <v>10620</v>
      </c>
      <c r="U536" s="13">
        <f t="shared" si="129"/>
        <v>0.8</v>
      </c>
      <c r="V536" s="11">
        <f t="shared" si="130"/>
        <v>0</v>
      </c>
      <c r="W536" s="10"/>
      <c r="X536" s="58">
        <f t="shared" si="136"/>
        <v>12094.999999999998</v>
      </c>
      <c r="Y536" s="13">
        <f t="shared" si="131"/>
        <v>1.0499999999999996</v>
      </c>
      <c r="Z536" s="11">
        <f t="shared" si="132"/>
        <v>0</v>
      </c>
      <c r="AA536" s="10" t="s">
        <v>1907</v>
      </c>
      <c r="AB536" s="10" t="s">
        <v>1908</v>
      </c>
      <c r="AC536" s="2"/>
    </row>
    <row r="537" spans="1:29" x14ac:dyDescent="0.3">
      <c r="A537" s="37">
        <v>563</v>
      </c>
      <c r="B537" s="37"/>
      <c r="C537" s="37">
        <v>5</v>
      </c>
      <c r="D537" s="37"/>
      <c r="E537" s="44">
        <v>3500</v>
      </c>
      <c r="F537" s="38">
        <f t="shared" si="133"/>
        <v>0</v>
      </c>
      <c r="G537" s="37"/>
      <c r="H537" s="38">
        <f t="shared" si="134"/>
        <v>0</v>
      </c>
      <c r="I537" s="66">
        <v>401</v>
      </c>
      <c r="J537" s="37" t="s">
        <v>352</v>
      </c>
      <c r="K537" s="37" t="s">
        <v>1960</v>
      </c>
      <c r="L537" s="37"/>
      <c r="M537" s="37"/>
      <c r="N537" s="36" t="s">
        <v>1953</v>
      </c>
      <c r="O537" s="37"/>
      <c r="P537" s="44">
        <v>5600</v>
      </c>
      <c r="Q537" s="45">
        <f t="shared" si="127"/>
        <v>0.6</v>
      </c>
      <c r="R537" s="46">
        <f t="shared" si="128"/>
        <v>0</v>
      </c>
      <c r="S537" s="37"/>
      <c r="T537" s="44">
        <f t="shared" si="135"/>
        <v>6300</v>
      </c>
      <c r="U537" s="45">
        <f t="shared" si="129"/>
        <v>0.8</v>
      </c>
      <c r="V537" s="38">
        <f t="shared" si="130"/>
        <v>0</v>
      </c>
      <c r="W537" s="37"/>
      <c r="X537" s="44">
        <f t="shared" si="136"/>
        <v>7174.9999999999991</v>
      </c>
      <c r="Y537" s="45">
        <f t="shared" si="131"/>
        <v>1.0499999999999998</v>
      </c>
      <c r="Z537" s="38">
        <f t="shared" si="132"/>
        <v>0</v>
      </c>
      <c r="AA537" s="37" t="s">
        <v>380</v>
      </c>
      <c r="AB537" s="37" t="s">
        <v>381</v>
      </c>
      <c r="AC537" s="37"/>
    </row>
    <row r="538" spans="1:29" x14ac:dyDescent="0.3">
      <c r="A538" s="10">
        <v>207</v>
      </c>
      <c r="B538" s="2"/>
      <c r="C538" s="2">
        <v>1</v>
      </c>
      <c r="D538" s="10"/>
      <c r="E538" s="40">
        <v>29900</v>
      </c>
      <c r="F538" s="11">
        <f t="shared" si="133"/>
        <v>0</v>
      </c>
      <c r="G538" s="10"/>
      <c r="H538" s="11">
        <f t="shared" si="134"/>
        <v>0</v>
      </c>
      <c r="I538" s="67">
        <v>402</v>
      </c>
      <c r="J538" s="10" t="s">
        <v>352</v>
      </c>
      <c r="K538" s="10"/>
      <c r="L538" s="10"/>
      <c r="M538" s="10"/>
      <c r="N538" s="12" t="s">
        <v>1909</v>
      </c>
      <c r="O538" s="10"/>
      <c r="P538" s="58">
        <v>47800</v>
      </c>
      <c r="Q538" s="13">
        <f t="shared" si="127"/>
        <v>0.59866220735785958</v>
      </c>
      <c r="R538" s="11">
        <f t="shared" si="128"/>
        <v>0</v>
      </c>
      <c r="S538" s="10"/>
      <c r="T538" s="58">
        <f t="shared" si="135"/>
        <v>53820</v>
      </c>
      <c r="U538" s="13">
        <f t="shared" si="129"/>
        <v>0.8</v>
      </c>
      <c r="V538" s="11">
        <f t="shared" si="130"/>
        <v>0</v>
      </c>
      <c r="W538" s="10"/>
      <c r="X538" s="58">
        <f t="shared" si="136"/>
        <v>61294.999999999993</v>
      </c>
      <c r="Y538" s="13">
        <f t="shared" si="131"/>
        <v>1.0499999999999998</v>
      </c>
      <c r="Z538" s="11">
        <f t="shared" si="132"/>
        <v>0</v>
      </c>
      <c r="AA538" s="10" t="s">
        <v>1910</v>
      </c>
      <c r="AB538" s="10" t="s">
        <v>1911</v>
      </c>
      <c r="AC538" s="2"/>
    </row>
    <row r="539" spans="1:29" x14ac:dyDescent="0.3">
      <c r="A539" s="37">
        <v>564</v>
      </c>
      <c r="B539" s="37"/>
      <c r="C539" s="37">
        <v>5</v>
      </c>
      <c r="D539" s="37"/>
      <c r="E539" s="44">
        <v>3900</v>
      </c>
      <c r="F539" s="38">
        <f t="shared" si="133"/>
        <v>0</v>
      </c>
      <c r="G539" s="37"/>
      <c r="H539" s="38">
        <f t="shared" si="134"/>
        <v>0</v>
      </c>
      <c r="I539" s="66">
        <v>403</v>
      </c>
      <c r="J539" s="37" t="s">
        <v>352</v>
      </c>
      <c r="K539" s="37" t="s">
        <v>1960</v>
      </c>
      <c r="L539" s="37"/>
      <c r="M539" s="37"/>
      <c r="N539" s="36" t="s">
        <v>1954</v>
      </c>
      <c r="O539" s="37"/>
      <c r="P539" s="44">
        <v>6200</v>
      </c>
      <c r="Q539" s="45">
        <f t="shared" si="127"/>
        <v>0.58974358974358976</v>
      </c>
      <c r="R539" s="46">
        <f t="shared" si="128"/>
        <v>0</v>
      </c>
      <c r="S539" s="37"/>
      <c r="T539" s="44">
        <f t="shared" si="135"/>
        <v>7020</v>
      </c>
      <c r="U539" s="45">
        <f t="shared" si="129"/>
        <v>0.8</v>
      </c>
      <c r="V539" s="38">
        <f t="shared" si="130"/>
        <v>0</v>
      </c>
      <c r="W539" s="37"/>
      <c r="X539" s="44">
        <f t="shared" si="136"/>
        <v>7994.9999999999991</v>
      </c>
      <c r="Y539" s="45">
        <f t="shared" si="131"/>
        <v>1.0499999999999998</v>
      </c>
      <c r="Z539" s="38">
        <f t="shared" si="132"/>
        <v>0</v>
      </c>
      <c r="AA539" s="37"/>
      <c r="AB539" s="37" t="s">
        <v>1955</v>
      </c>
      <c r="AC539" s="37"/>
    </row>
    <row r="540" spans="1:29" x14ac:dyDescent="0.3">
      <c r="A540" s="10">
        <v>208</v>
      </c>
      <c r="B540" s="2"/>
      <c r="C540" s="2">
        <v>1</v>
      </c>
      <c r="D540" s="10"/>
      <c r="E540" s="40">
        <v>83000</v>
      </c>
      <c r="F540" s="11">
        <f t="shared" si="133"/>
        <v>0</v>
      </c>
      <c r="G540" s="10"/>
      <c r="H540" s="11">
        <f t="shared" si="134"/>
        <v>0</v>
      </c>
      <c r="I540" s="67">
        <v>404</v>
      </c>
      <c r="J540" s="10" t="s">
        <v>352</v>
      </c>
      <c r="K540" s="10"/>
      <c r="L540" s="10"/>
      <c r="M540" s="10"/>
      <c r="N540" s="12" t="s">
        <v>1912</v>
      </c>
      <c r="O540" s="10"/>
      <c r="P540" s="58">
        <v>132800</v>
      </c>
      <c r="Q540" s="13">
        <f t="shared" si="127"/>
        <v>0.6</v>
      </c>
      <c r="R540" s="11">
        <f t="shared" si="128"/>
        <v>0</v>
      </c>
      <c r="S540" s="10"/>
      <c r="T540" s="58">
        <f t="shared" si="135"/>
        <v>149400</v>
      </c>
      <c r="U540" s="13">
        <f t="shared" si="129"/>
        <v>0.8</v>
      </c>
      <c r="V540" s="11">
        <f t="shared" si="130"/>
        <v>0</v>
      </c>
      <c r="W540" s="10"/>
      <c r="X540" s="58">
        <f t="shared" si="136"/>
        <v>170149.99999999997</v>
      </c>
      <c r="Y540" s="13">
        <f t="shared" si="131"/>
        <v>1.0499999999999996</v>
      </c>
      <c r="Z540" s="11">
        <f t="shared" si="132"/>
        <v>0</v>
      </c>
      <c r="AA540" s="10" t="s">
        <v>1913</v>
      </c>
      <c r="AB540" s="10" t="s">
        <v>1914</v>
      </c>
      <c r="AC540" s="2" t="s">
        <v>1915</v>
      </c>
    </row>
    <row r="541" spans="1:29" x14ac:dyDescent="0.3">
      <c r="A541" s="10">
        <v>209</v>
      </c>
      <c r="B541" s="2"/>
      <c r="C541" s="2">
        <v>1</v>
      </c>
      <c r="D541" s="10"/>
      <c r="E541" s="40">
        <v>92000</v>
      </c>
      <c r="F541" s="11">
        <f t="shared" si="133"/>
        <v>0</v>
      </c>
      <c r="G541" s="10"/>
      <c r="H541" s="11">
        <f t="shared" si="134"/>
        <v>0</v>
      </c>
      <c r="I541" s="66">
        <v>405</v>
      </c>
      <c r="J541" s="10" t="s">
        <v>352</v>
      </c>
      <c r="K541" s="10"/>
      <c r="L541" s="10"/>
      <c r="M541" s="10"/>
      <c r="N541" s="12" t="s">
        <v>1916</v>
      </c>
      <c r="O541" s="10"/>
      <c r="P541" s="58">
        <v>147200</v>
      </c>
      <c r="Q541" s="13">
        <f t="shared" si="127"/>
        <v>0.6</v>
      </c>
      <c r="R541" s="11">
        <f t="shared" si="128"/>
        <v>0</v>
      </c>
      <c r="S541" s="10"/>
      <c r="T541" s="58">
        <f t="shared" si="135"/>
        <v>165600</v>
      </c>
      <c r="U541" s="13">
        <f t="shared" si="129"/>
        <v>0.8</v>
      </c>
      <c r="V541" s="11">
        <f t="shared" si="130"/>
        <v>0</v>
      </c>
      <c r="W541" s="10"/>
      <c r="X541" s="58">
        <f t="shared" si="136"/>
        <v>188599.99999999997</v>
      </c>
      <c r="Y541" s="13">
        <f t="shared" si="131"/>
        <v>1.0499999999999996</v>
      </c>
      <c r="Z541" s="11">
        <f t="shared" si="132"/>
        <v>0</v>
      </c>
      <c r="AA541" s="10" t="s">
        <v>1917</v>
      </c>
      <c r="AB541" s="10" t="s">
        <v>1918</v>
      </c>
      <c r="AC541" s="2" t="s">
        <v>1919</v>
      </c>
    </row>
    <row r="542" spans="1:29" x14ac:dyDescent="0.3">
      <c r="A542" s="10">
        <v>210</v>
      </c>
      <c r="B542" s="2"/>
      <c r="C542" s="2">
        <v>1</v>
      </c>
      <c r="D542" s="10"/>
      <c r="E542" s="40">
        <v>1450</v>
      </c>
      <c r="F542" s="11">
        <f t="shared" si="133"/>
        <v>0</v>
      </c>
      <c r="G542" s="10"/>
      <c r="H542" s="11">
        <f t="shared" si="134"/>
        <v>0</v>
      </c>
      <c r="I542" s="67">
        <v>406</v>
      </c>
      <c r="J542" s="10" t="s">
        <v>352</v>
      </c>
      <c r="K542" s="10"/>
      <c r="L542" s="10"/>
      <c r="M542" s="10"/>
      <c r="N542" s="12" t="s">
        <v>1920</v>
      </c>
      <c r="O542" s="10"/>
      <c r="P542" s="58">
        <v>2300</v>
      </c>
      <c r="Q542" s="13">
        <f t="shared" si="127"/>
        <v>0.58620689655172409</v>
      </c>
      <c r="R542" s="11">
        <f t="shared" si="128"/>
        <v>0</v>
      </c>
      <c r="S542" s="10"/>
      <c r="T542" s="58">
        <f t="shared" si="135"/>
        <v>2610</v>
      </c>
      <c r="U542" s="13">
        <f t="shared" si="129"/>
        <v>0.8</v>
      </c>
      <c r="V542" s="11">
        <f t="shared" si="130"/>
        <v>0</v>
      </c>
      <c r="W542" s="10"/>
      <c r="X542" s="58">
        <f t="shared" si="136"/>
        <v>2972.4999999999995</v>
      </c>
      <c r="Y542" s="13">
        <f t="shared" si="131"/>
        <v>1.0499999999999996</v>
      </c>
      <c r="Z542" s="11">
        <f t="shared" si="132"/>
        <v>0</v>
      </c>
      <c r="AA542" s="10" t="s">
        <v>1921</v>
      </c>
      <c r="AB542" s="10" t="s">
        <v>1922</v>
      </c>
      <c r="AC542" s="2" t="s">
        <v>1923</v>
      </c>
    </row>
    <row r="543" spans="1:29" x14ac:dyDescent="0.3">
      <c r="A543" s="10">
        <v>211</v>
      </c>
      <c r="B543" s="2"/>
      <c r="C543" s="2">
        <v>1</v>
      </c>
      <c r="D543" s="10"/>
      <c r="E543" s="40">
        <v>5300</v>
      </c>
      <c r="F543" s="11">
        <f t="shared" si="133"/>
        <v>0</v>
      </c>
      <c r="G543" s="10"/>
      <c r="H543" s="11">
        <f t="shared" si="134"/>
        <v>0</v>
      </c>
      <c r="I543" s="66">
        <v>407</v>
      </c>
      <c r="J543" s="10" t="s">
        <v>352</v>
      </c>
      <c r="K543" s="10"/>
      <c r="L543" s="10"/>
      <c r="M543" s="10"/>
      <c r="N543" s="12" t="s">
        <v>1924</v>
      </c>
      <c r="O543" s="10"/>
      <c r="P543" s="58">
        <v>8400</v>
      </c>
      <c r="Q543" s="13">
        <f t="shared" si="127"/>
        <v>0.58490566037735847</v>
      </c>
      <c r="R543" s="11">
        <f t="shared" si="128"/>
        <v>0</v>
      </c>
      <c r="S543" s="10"/>
      <c r="T543" s="58">
        <f t="shared" si="135"/>
        <v>9540</v>
      </c>
      <c r="U543" s="13">
        <f t="shared" si="129"/>
        <v>0.8</v>
      </c>
      <c r="V543" s="11">
        <f t="shared" si="130"/>
        <v>0</v>
      </c>
      <c r="W543" s="10"/>
      <c r="X543" s="58">
        <f t="shared" si="136"/>
        <v>10864.999999999998</v>
      </c>
      <c r="Y543" s="13">
        <f t="shared" si="131"/>
        <v>1.0499999999999996</v>
      </c>
      <c r="Z543" s="11">
        <f t="shared" si="132"/>
        <v>0</v>
      </c>
      <c r="AA543" s="10" t="s">
        <v>1925</v>
      </c>
      <c r="AB543" s="10" t="s">
        <v>1926</v>
      </c>
      <c r="AC543" s="2" t="s">
        <v>1927</v>
      </c>
    </row>
    <row r="544" spans="1:29" x14ac:dyDescent="0.3">
      <c r="A544" s="10">
        <v>212</v>
      </c>
      <c r="B544" s="2"/>
      <c r="C544" s="2">
        <v>1</v>
      </c>
      <c r="D544" s="10"/>
      <c r="E544" s="40">
        <v>7500</v>
      </c>
      <c r="F544" s="11">
        <f t="shared" si="133"/>
        <v>0</v>
      </c>
      <c r="G544" s="10"/>
      <c r="H544" s="11">
        <f t="shared" si="134"/>
        <v>0</v>
      </c>
      <c r="I544" s="67">
        <v>408</v>
      </c>
      <c r="J544" s="10" t="s">
        <v>352</v>
      </c>
      <c r="K544" s="10"/>
      <c r="L544" s="10"/>
      <c r="M544" s="10"/>
      <c r="N544" s="12" t="s">
        <v>1928</v>
      </c>
      <c r="O544" s="10"/>
      <c r="P544" s="58">
        <v>12000</v>
      </c>
      <c r="Q544" s="13">
        <f t="shared" si="127"/>
        <v>0.6</v>
      </c>
      <c r="R544" s="11">
        <f t="shared" si="128"/>
        <v>0</v>
      </c>
      <c r="S544" s="10"/>
      <c r="T544" s="58">
        <f t="shared" si="135"/>
        <v>13500</v>
      </c>
      <c r="U544" s="13">
        <f t="shared" si="129"/>
        <v>0.8</v>
      </c>
      <c r="V544" s="11">
        <f t="shared" si="130"/>
        <v>0</v>
      </c>
      <c r="W544" s="10"/>
      <c r="X544" s="58">
        <f t="shared" si="136"/>
        <v>15374.999999999998</v>
      </c>
      <c r="Y544" s="13">
        <f t="shared" si="131"/>
        <v>1.0499999999999998</v>
      </c>
      <c r="Z544" s="11">
        <f t="shared" si="132"/>
        <v>0</v>
      </c>
      <c r="AA544" s="10" t="s">
        <v>1929</v>
      </c>
      <c r="AB544" s="10" t="s">
        <v>1930</v>
      </c>
      <c r="AC544" s="2"/>
    </row>
    <row r="545" spans="1:29" x14ac:dyDescent="0.3">
      <c r="A545" s="10">
        <v>213</v>
      </c>
      <c r="B545" s="2"/>
      <c r="C545" s="2">
        <v>1</v>
      </c>
      <c r="D545" s="10"/>
      <c r="E545" s="40">
        <v>9000</v>
      </c>
      <c r="F545" s="11">
        <f t="shared" si="133"/>
        <v>0</v>
      </c>
      <c r="G545" s="10"/>
      <c r="H545" s="11">
        <f t="shared" si="134"/>
        <v>0</v>
      </c>
      <c r="I545" s="66">
        <v>409</v>
      </c>
      <c r="J545" s="10" t="s">
        <v>352</v>
      </c>
      <c r="K545" s="10"/>
      <c r="L545" s="10"/>
      <c r="M545" s="10"/>
      <c r="N545" s="12" t="s">
        <v>1931</v>
      </c>
      <c r="O545" s="10"/>
      <c r="P545" s="58">
        <v>14400</v>
      </c>
      <c r="Q545" s="13">
        <f t="shared" si="127"/>
        <v>0.6</v>
      </c>
      <c r="R545" s="11">
        <f t="shared" si="128"/>
        <v>0</v>
      </c>
      <c r="S545" s="10"/>
      <c r="T545" s="58">
        <f t="shared" si="135"/>
        <v>16200</v>
      </c>
      <c r="U545" s="13">
        <f t="shared" si="129"/>
        <v>0.8</v>
      </c>
      <c r="V545" s="11">
        <f t="shared" si="130"/>
        <v>0</v>
      </c>
      <c r="W545" s="10"/>
      <c r="X545" s="58">
        <f t="shared" si="136"/>
        <v>18450</v>
      </c>
      <c r="Y545" s="13">
        <f t="shared" si="131"/>
        <v>1.05</v>
      </c>
      <c r="Z545" s="11">
        <f t="shared" si="132"/>
        <v>0</v>
      </c>
      <c r="AA545" s="10" t="s">
        <v>1932</v>
      </c>
      <c r="AB545" s="10" t="s">
        <v>1933</v>
      </c>
      <c r="AC545" s="2"/>
    </row>
    <row r="546" spans="1:29" x14ac:dyDescent="0.3">
      <c r="A546" s="10">
        <v>214</v>
      </c>
      <c r="B546" s="2"/>
      <c r="C546" s="2">
        <v>1</v>
      </c>
      <c r="D546" s="10"/>
      <c r="E546" s="40">
        <v>57000</v>
      </c>
      <c r="F546" s="11">
        <f t="shared" si="133"/>
        <v>0</v>
      </c>
      <c r="G546" s="10"/>
      <c r="H546" s="11">
        <f t="shared" si="134"/>
        <v>0</v>
      </c>
      <c r="I546" s="67">
        <v>410</v>
      </c>
      <c r="J546" s="10" t="s">
        <v>352</v>
      </c>
      <c r="K546" s="10"/>
      <c r="L546" s="10"/>
      <c r="M546" s="10"/>
      <c r="N546" s="12" t="s">
        <v>1934</v>
      </c>
      <c r="O546" s="10"/>
      <c r="P546" s="58">
        <v>91200</v>
      </c>
      <c r="Q546" s="13">
        <f t="shared" ref="Q546:Q609" si="137">(P546-E546)/E546</f>
        <v>0.6</v>
      </c>
      <c r="R546" s="11">
        <f t="shared" ref="R546:R551" si="138">O546*P546</f>
        <v>0</v>
      </c>
      <c r="S546" s="10"/>
      <c r="T546" s="58">
        <f t="shared" si="135"/>
        <v>102600</v>
      </c>
      <c r="U546" s="13">
        <f t="shared" ref="U546:U609" si="139">(T546-E546)/E546</f>
        <v>0.8</v>
      </c>
      <c r="V546" s="11">
        <f t="shared" ref="V546:V551" si="140">S546*T546</f>
        <v>0</v>
      </c>
      <c r="W546" s="10"/>
      <c r="X546" s="58">
        <f t="shared" si="136"/>
        <v>116849.99999999999</v>
      </c>
      <c r="Y546" s="13">
        <f t="shared" ref="Y546:Y609" si="141">(X546-E546)/E546</f>
        <v>1.0499999999999998</v>
      </c>
      <c r="Z546" s="11">
        <f t="shared" ref="Z546:Z551" si="142">W546*X546</f>
        <v>0</v>
      </c>
      <c r="AA546" s="10" t="s">
        <v>1935</v>
      </c>
      <c r="AB546" s="10" t="s">
        <v>1936</v>
      </c>
      <c r="AC546" s="2" t="s">
        <v>1937</v>
      </c>
    </row>
    <row r="547" spans="1:29" x14ac:dyDescent="0.3">
      <c r="A547" s="10">
        <v>215</v>
      </c>
      <c r="B547" s="2"/>
      <c r="C547" s="2">
        <v>1</v>
      </c>
      <c r="D547" s="10"/>
      <c r="E547" s="40">
        <v>55500</v>
      </c>
      <c r="F547" s="11">
        <f t="shared" si="133"/>
        <v>0</v>
      </c>
      <c r="G547" s="10"/>
      <c r="H547" s="11">
        <f t="shared" si="134"/>
        <v>0</v>
      </c>
      <c r="I547" s="66">
        <v>411</v>
      </c>
      <c r="J547" s="10" t="s">
        <v>352</v>
      </c>
      <c r="K547" s="10"/>
      <c r="L547" s="10"/>
      <c r="M547" s="10"/>
      <c r="N547" s="12" t="s">
        <v>1938</v>
      </c>
      <c r="O547" s="10"/>
      <c r="P547" s="58">
        <v>88800</v>
      </c>
      <c r="Q547" s="13">
        <f t="shared" si="137"/>
        <v>0.6</v>
      </c>
      <c r="R547" s="11">
        <f t="shared" si="138"/>
        <v>0</v>
      </c>
      <c r="S547" s="10"/>
      <c r="T547" s="58">
        <f t="shared" si="135"/>
        <v>99900</v>
      </c>
      <c r="U547" s="13">
        <f t="shared" si="139"/>
        <v>0.8</v>
      </c>
      <c r="V547" s="11">
        <f t="shared" si="140"/>
        <v>0</v>
      </c>
      <c r="W547" s="10"/>
      <c r="X547" s="58">
        <f t="shared" si="136"/>
        <v>113774.99999999999</v>
      </c>
      <c r="Y547" s="13">
        <f t="shared" si="141"/>
        <v>1.0499999999999998</v>
      </c>
      <c r="Z547" s="11">
        <f t="shared" si="142"/>
        <v>0</v>
      </c>
      <c r="AA547" s="10" t="s">
        <v>1939</v>
      </c>
      <c r="AB547" s="10" t="s">
        <v>1940</v>
      </c>
      <c r="AC547" s="2"/>
    </row>
    <row r="548" spans="1:29" x14ac:dyDescent="0.3">
      <c r="A548" s="10">
        <v>216</v>
      </c>
      <c r="B548" s="2"/>
      <c r="C548" s="2">
        <v>1</v>
      </c>
      <c r="D548" s="10"/>
      <c r="E548" s="40">
        <v>88693</v>
      </c>
      <c r="F548" s="11">
        <f t="shared" si="133"/>
        <v>0</v>
      </c>
      <c r="G548" s="10"/>
      <c r="H548" s="11">
        <f t="shared" si="134"/>
        <v>0</v>
      </c>
      <c r="I548" s="67">
        <v>412</v>
      </c>
      <c r="J548" s="10" t="s">
        <v>352</v>
      </c>
      <c r="K548" s="10"/>
      <c r="L548" s="10"/>
      <c r="M548" s="10"/>
      <c r="N548" s="12" t="s">
        <v>1941</v>
      </c>
      <c r="O548" s="10"/>
      <c r="P548" s="58">
        <v>141900</v>
      </c>
      <c r="Q548" s="13">
        <f t="shared" si="137"/>
        <v>0.59990078134689317</v>
      </c>
      <c r="R548" s="11">
        <f t="shared" si="138"/>
        <v>0</v>
      </c>
      <c r="S548" s="10"/>
      <c r="T548" s="58">
        <f t="shared" si="135"/>
        <v>159647.4</v>
      </c>
      <c r="U548" s="13">
        <f t="shared" si="139"/>
        <v>0.79999999999999993</v>
      </c>
      <c r="V548" s="11">
        <f t="shared" si="140"/>
        <v>0</v>
      </c>
      <c r="W548" s="10"/>
      <c r="X548" s="58">
        <f t="shared" si="136"/>
        <v>181820.65</v>
      </c>
      <c r="Y548" s="13">
        <f t="shared" si="141"/>
        <v>1.05</v>
      </c>
      <c r="Z548" s="11">
        <f t="shared" si="142"/>
        <v>0</v>
      </c>
      <c r="AA548" s="10" t="s">
        <v>1942</v>
      </c>
      <c r="AB548" s="10" t="s">
        <v>1943</v>
      </c>
      <c r="AC548" s="2" t="s">
        <v>1944</v>
      </c>
    </row>
    <row r="549" spans="1:29" x14ac:dyDescent="0.3">
      <c r="A549" s="10">
        <v>217</v>
      </c>
      <c r="B549" s="2"/>
      <c r="C549" s="2">
        <v>1</v>
      </c>
      <c r="D549" s="10"/>
      <c r="E549" s="40">
        <v>69896</v>
      </c>
      <c r="F549" s="11">
        <f t="shared" si="133"/>
        <v>0</v>
      </c>
      <c r="G549" s="10"/>
      <c r="H549" s="11">
        <f t="shared" si="134"/>
        <v>0</v>
      </c>
      <c r="I549" s="66">
        <v>413</v>
      </c>
      <c r="J549" s="10" t="s">
        <v>352</v>
      </c>
      <c r="K549" s="10"/>
      <c r="L549" s="10"/>
      <c r="M549" s="10"/>
      <c r="N549" s="12" t="s">
        <v>1945</v>
      </c>
      <c r="O549" s="10"/>
      <c r="P549" s="58">
        <v>111800</v>
      </c>
      <c r="Q549" s="13">
        <f t="shared" si="137"/>
        <v>0.59951928579603986</v>
      </c>
      <c r="R549" s="11">
        <f t="shared" si="138"/>
        <v>0</v>
      </c>
      <c r="S549" s="10"/>
      <c r="T549" s="58">
        <f t="shared" si="135"/>
        <v>125812.8</v>
      </c>
      <c r="U549" s="13">
        <f t="shared" si="139"/>
        <v>0.8</v>
      </c>
      <c r="V549" s="11">
        <f t="shared" si="140"/>
        <v>0</v>
      </c>
      <c r="W549" s="10"/>
      <c r="X549" s="58">
        <f t="shared" si="136"/>
        <v>143286.79999999999</v>
      </c>
      <c r="Y549" s="13">
        <f t="shared" si="141"/>
        <v>1.0499999999999998</v>
      </c>
      <c r="Z549" s="11">
        <f t="shared" si="142"/>
        <v>0</v>
      </c>
      <c r="AA549" s="10" t="s">
        <v>1946</v>
      </c>
      <c r="AB549" s="10" t="s">
        <v>1947</v>
      </c>
      <c r="AC549" s="2" t="s">
        <v>1948</v>
      </c>
    </row>
    <row r="550" spans="1:29" x14ac:dyDescent="0.3">
      <c r="A550" s="10">
        <v>220</v>
      </c>
      <c r="B550" s="2"/>
      <c r="C550" s="2">
        <v>1</v>
      </c>
      <c r="D550" s="10"/>
      <c r="E550" s="40">
        <v>46500</v>
      </c>
      <c r="F550" s="11">
        <f t="shared" si="133"/>
        <v>0</v>
      </c>
      <c r="G550" s="10"/>
      <c r="H550" s="11">
        <f t="shared" si="134"/>
        <v>0</v>
      </c>
      <c r="I550" s="67">
        <v>414</v>
      </c>
      <c r="J550" s="10" t="s">
        <v>352</v>
      </c>
      <c r="K550" s="10"/>
      <c r="L550" s="10"/>
      <c r="M550" s="10"/>
      <c r="N550" s="12" t="s">
        <v>1949</v>
      </c>
      <c r="O550" s="10"/>
      <c r="P550" s="58">
        <v>74400</v>
      </c>
      <c r="Q550" s="13">
        <f t="shared" si="137"/>
        <v>0.6</v>
      </c>
      <c r="R550" s="11">
        <f t="shared" si="138"/>
        <v>0</v>
      </c>
      <c r="S550" s="10"/>
      <c r="T550" s="58">
        <f t="shared" si="135"/>
        <v>83700</v>
      </c>
      <c r="U550" s="13">
        <f t="shared" si="139"/>
        <v>0.8</v>
      </c>
      <c r="V550" s="11">
        <f t="shared" si="140"/>
        <v>0</v>
      </c>
      <c r="W550" s="10"/>
      <c r="X550" s="58">
        <f t="shared" si="136"/>
        <v>95324.999999999985</v>
      </c>
      <c r="Y550" s="13">
        <f t="shared" si="141"/>
        <v>1.0499999999999996</v>
      </c>
      <c r="Z550" s="11">
        <f t="shared" si="142"/>
        <v>0</v>
      </c>
      <c r="AA550" s="10" t="s">
        <v>1950</v>
      </c>
      <c r="AB550" s="10" t="s">
        <v>1951</v>
      </c>
      <c r="AC550" s="2" t="s">
        <v>1952</v>
      </c>
    </row>
    <row r="551" spans="1:29" x14ac:dyDescent="0.3">
      <c r="A551" s="37">
        <v>573</v>
      </c>
      <c r="B551" s="37"/>
      <c r="C551" s="37">
        <v>5</v>
      </c>
      <c r="D551" s="37"/>
      <c r="E551" s="44">
        <v>2070</v>
      </c>
      <c r="F551" s="38">
        <f t="shared" si="133"/>
        <v>0</v>
      </c>
      <c r="G551" s="37"/>
      <c r="H551" s="38">
        <f t="shared" si="134"/>
        <v>0</v>
      </c>
      <c r="I551" s="66">
        <v>415</v>
      </c>
      <c r="J551" s="37" t="s">
        <v>352</v>
      </c>
      <c r="K551" s="37" t="s">
        <v>1960</v>
      </c>
      <c r="L551" s="37"/>
      <c r="M551" s="37"/>
      <c r="N551" s="36" t="s">
        <v>1956</v>
      </c>
      <c r="O551" s="37"/>
      <c r="P551" s="44">
        <v>3300</v>
      </c>
      <c r="Q551" s="45">
        <f t="shared" si="137"/>
        <v>0.59420289855072461</v>
      </c>
      <c r="R551" s="46">
        <f t="shared" si="138"/>
        <v>0</v>
      </c>
      <c r="S551" s="37"/>
      <c r="T551" s="44">
        <f t="shared" si="135"/>
        <v>3726</v>
      </c>
      <c r="U551" s="45">
        <f t="shared" si="139"/>
        <v>0.8</v>
      </c>
      <c r="V551" s="38">
        <f t="shared" si="140"/>
        <v>0</v>
      </c>
      <c r="W551" s="37"/>
      <c r="X551" s="44">
        <f t="shared" si="136"/>
        <v>4243.5</v>
      </c>
      <c r="Y551" s="45">
        <f t="shared" si="141"/>
        <v>1.05</v>
      </c>
      <c r="Z551" s="38">
        <f t="shared" si="142"/>
        <v>0</v>
      </c>
      <c r="AA551" s="37" t="s">
        <v>1957</v>
      </c>
      <c r="AB551" s="37" t="s">
        <v>1958</v>
      </c>
      <c r="AC551" s="37"/>
    </row>
    <row r="552" spans="1:29" x14ac:dyDescent="0.3">
      <c r="A552" s="28" t="s">
        <v>1959</v>
      </c>
      <c r="B552" s="10"/>
      <c r="C552" s="10">
        <v>9</v>
      </c>
      <c r="D552" s="22">
        <v>999</v>
      </c>
      <c r="E552" s="40"/>
      <c r="F552" s="26">
        <f>SUBTOTAL(9,F137:F551)</f>
        <v>1775511</v>
      </c>
      <c r="G552" s="10"/>
      <c r="H552" s="26">
        <f>SUM(H340:H551)</f>
        <v>0</v>
      </c>
      <c r="I552" s="68"/>
      <c r="J552" s="11"/>
      <c r="K552" s="11"/>
      <c r="L552" s="11"/>
      <c r="M552" s="11"/>
      <c r="N552" s="24"/>
      <c r="O552" s="22"/>
      <c r="P552" s="61" t="s">
        <v>15</v>
      </c>
      <c r="Q552" s="13"/>
      <c r="R552" s="27">
        <f>SUBTOTAL(9,R137:R551)</f>
        <v>2817200</v>
      </c>
      <c r="S552" s="22"/>
      <c r="T552" s="61" t="s">
        <v>15</v>
      </c>
      <c r="U552" s="13"/>
      <c r="V552" s="23">
        <f>SUM(V340:V551)</f>
        <v>0</v>
      </c>
      <c r="W552" s="22"/>
      <c r="X552" s="61" t="s">
        <v>15</v>
      </c>
      <c r="Y552" s="13"/>
      <c r="Z552" s="23">
        <f>SUM(Z340:Z551)</f>
        <v>0</v>
      </c>
      <c r="AA552" s="2"/>
      <c r="AB552" s="2"/>
      <c r="AC552" s="2"/>
    </row>
  </sheetData>
  <autoFilter ref="A1:AC551" xr:uid="{00000000-0009-0000-0000-000000000000}">
    <filterColumn colId="2">
      <filters>
        <filter val="1"/>
        <filter val="3"/>
        <filter val="4"/>
        <filter val="5"/>
      </filters>
    </filterColumn>
    <sortState xmlns:xlrd2="http://schemas.microsoft.com/office/spreadsheetml/2017/richdata2" ref="A137:AC551">
      <sortCondition ref="I1:I551"/>
    </sortState>
  </autoFilter>
  <pageMargins left="0.23622047244094491" right="0.23622047244094491" top="0.35433070866141742" bottom="0.35433070866141742" header="0.31496062992125978" footer="0.31496062992125978"/>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duplicado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 sodero</dc:creator>
  <cp:lastModifiedBy>seba sodero</cp:lastModifiedBy>
  <cp:lastPrinted>2025-06-27T04:01:13Z</cp:lastPrinted>
  <dcterms:created xsi:type="dcterms:W3CDTF">2025-04-18T13:59:45Z</dcterms:created>
  <dcterms:modified xsi:type="dcterms:W3CDTF">2025-11-30T01:22:22Z</dcterms:modified>
</cp:coreProperties>
</file>